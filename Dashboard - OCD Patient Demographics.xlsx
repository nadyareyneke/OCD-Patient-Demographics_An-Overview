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b6c60c292f579cd0/Desktop/Data Analytics/Projects/OCD Patient Demographics ^0 Clinical Data/"/>
    </mc:Choice>
  </mc:AlternateContent>
  <xr:revisionPtr revIDLastSave="88" documentId="8_{F40FD286-1A2A-47FC-AEE9-C661D266EE0C}" xr6:coauthVersionLast="47" xr6:coauthVersionMax="47" xr10:uidLastSave="{DBE92353-0394-4750-A3E5-3B59CC41A669}"/>
  <bookViews>
    <workbookView xWindow="-103" yWindow="-103" windowWidth="24892" windowHeight="14914" firstSheet="10" activeTab="10" xr2:uid="{E60A18C8-49C8-48DC-AE6B-DEE3B04E7B1D}"/>
  </bookViews>
  <sheets>
    <sheet name="DiagnosesPerYear(PivotTable)" sheetId="21" state="hidden" r:id="rId1"/>
    <sheet name="Diagnoses (Per Year)" sheetId="4" state="hidden" r:id="rId2"/>
    <sheet name="Ethnicity(PivotTable)" sheetId="23" state="hidden" r:id="rId3"/>
    <sheet name="Ethnicity " sheetId="3" state="hidden" r:id="rId4"/>
    <sheet name="ObsessionType(PivotTable)" sheetId="24" state="hidden" r:id="rId5"/>
    <sheet name="Most Common Obsession Type" sheetId="10" state="hidden" r:id="rId6"/>
    <sheet name="CompulsionType(PivotChart)" sheetId="25" state="hidden" r:id="rId7"/>
    <sheet name="Most Common Compulsion Type" sheetId="9" state="hidden" r:id="rId8"/>
    <sheet name="Gender(PivotTable)" sheetId="31" state="hidden" r:id="rId9"/>
    <sheet name="Gender" sheetId="29" state="hidden" r:id="rId10"/>
    <sheet name="OCD Diagnosis Dashboard" sheetId="33" r:id="rId11"/>
  </sheets>
  <definedNames>
    <definedName name="ExternalData_1" localSheetId="9" hidden="1">Gender!$A$1:$C$3</definedName>
    <definedName name="ExternalData_2" localSheetId="9" hidden="1">Gender!$A$5:$D$6</definedName>
    <definedName name="Slicer_patient_count">#N/A</definedName>
    <definedName name="Slicer_YEAR">#N/A</definedName>
  </definedNames>
  <calcPr calcId="191029"/>
  <pivotCaches>
    <pivotCache cacheId="0" r:id="rId12"/>
    <pivotCache cacheId="1" r:id="rId13"/>
    <pivotCache cacheId="2" r:id="rId14"/>
    <pivotCache cacheId="3" r:id="rId15"/>
    <pivotCache cacheId="4" r:id="rId16"/>
    <pivotCache cacheId="5" r:id="rId17"/>
  </pivotCaches>
  <fileRecoveryPr repairLoad="1"/>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7F0501-37CF-4061-BC96-CED63FA23BF9}" keepAlive="1" name="Query - By Gender - Obs Score and Count" description="Connection to the 'By Gender - Obs Score and Count' query in the workbook." type="5" refreshedVersion="0" background="1">
    <dbPr connection="Provider=Microsoft.Mashup.OleDb.1;Data Source=$Workbook$;Location=&quot;By Gender - Obs Score and Count&quot;;Extended Properties=&quot;&quot;" command="SELECT * FROM [By Gender - Obs Score and Count]"/>
  </connection>
  <connection id="2" xr16:uid="{4F8E613C-12D3-4CB0-AB51-9FB78267AA30}" keepAlive="1" name="Query - Diagnoses (Per Day)" description="Connection to the 'Diagnoses (Per Day)' query in the workbook." type="5" refreshedVersion="0" background="1">
    <dbPr connection="Provider=Microsoft.Mashup.OleDb.1;Data Source=$Workbook$;Location=&quot;Diagnoses (Per Day)&quot;;Extended Properties=&quot;&quot;" command="SELECT * FROM [Diagnoses (Per Day)]"/>
  </connection>
  <connection id="3" xr16:uid="{06576DBB-8430-4731-8524-1ABA1BB153F4}" keepAlive="1" name="Query - Diagnoses (Per Day) (2)" description="Connection to the 'Diagnoses (Per Day) (2)' query in the workbook." type="5" refreshedVersion="0" background="1">
    <dbPr connection="Provider=Microsoft.Mashup.OleDb.1;Data Source=$Workbook$;Location=&quot;Diagnoses (Per Day) (2)&quot;;Extended Properties=&quot;&quot;" command="SELECT * FROM [Diagnoses (Per Day) (2)]"/>
  </connection>
  <connection id="4" xr16:uid="{1D90D423-E4A7-4BB4-BCC5-9EC1C520FA18}" keepAlive="1" name="Query - Diagnoses (Per Month)" description="Connection to the 'Diagnoses (Per Month)' query in the workbook." type="5" refreshedVersion="0" background="1">
    <dbPr connection="Provider=Microsoft.Mashup.OleDb.1;Data Source=$Workbook$;Location=&quot;Diagnoses (Per Month)&quot;;Extended Properties=&quot;&quot;" command="SELECT * FROM [Diagnoses (Per Month)]"/>
  </connection>
  <connection id="5" xr16:uid="{64C40009-563E-4F96-A6F8-9530C2CFDA08}" keepAlive="1" name="Query - Diagnoses (Per Year)" description="Connection to the 'Diagnoses (Per Year)' query in the workbook." type="5" refreshedVersion="0" background="1">
    <dbPr connection="Provider=Microsoft.Mashup.OleDb.1;Data Source=$Workbook$;Location=&quot;Diagnoses (Per Year)&quot;;Extended Properties=&quot;&quot;" command="SELECT * FROM [Diagnoses (Per Year)]"/>
  </connection>
  <connection id="6" xr16:uid="{02838636-1697-48DF-81D2-1AB9537ECB30}" keepAlive="1" name="Query - Ethnicity" description="Connection to the 'Ethnicity' query in the workbook." type="5" refreshedVersion="0" background="1">
    <dbPr connection="Provider=Microsoft.Mashup.OleDb.1;Data Source=$Workbook$;Location=Ethnicity;Extended Properties=&quot;&quot;" command="SELECT * FROM [Ethnicity]"/>
  </connection>
  <connection id="7" xr16:uid="{A3B732A7-5413-476C-99DA-C44E579E45A1}" keepAlive="1" name="Query - Gender" description="Connection to the 'Gender' query in the workbook." type="5" refreshedVersion="0" background="1">
    <dbPr connection="Provider=Microsoft.Mashup.OleDb.1;Data Source=$Workbook$;Location=Gender;Extended Properties=&quot;&quot;" command="SELECT * FROM [Gender]"/>
  </connection>
  <connection id="8" xr16:uid="{C0D50C10-C2FD-463E-8DFA-C9177B1DA4E0}" keepAlive="1" name="Query - Gender (2)" description="Connection to the 'Gender (2)' query in the workbook." type="5" refreshedVersion="8" background="1" saveData="1">
    <dbPr connection="Provider=Microsoft.Mashup.OleDb.1;Data Source=$Workbook$;Location=&quot;Gender (2)&quot;;Extended Properties=&quot;&quot;" command="SELECT * FROM [Gender (2)]"/>
  </connection>
  <connection id="9" xr16:uid="{19248E29-43EA-4EDF-88E0-65D49228A72E}" keepAlive="1" name="Query - GenderPercentMalevsFemale" description="Connection to the 'GenderPercentMalevsFemale' query in the workbook." type="5" refreshedVersion="0" background="1">
    <dbPr connection="Provider=Microsoft.Mashup.OleDb.1;Data Source=$Workbook$;Location=GenderPercentMalevsFemale;Extended Properties=&quot;&quot;" command="SELECT * FROM [GenderPercentMalevsFemale]"/>
  </connection>
  <connection id="10" xr16:uid="{72CC3992-7C5F-4327-B3D4-51EB0C08E6BF}" keepAlive="1" name="Query - GenderPercentMalevsFemale (2)" description="Connection to the 'GenderPercentMalevsFemale (2)' query in the workbook." type="5" refreshedVersion="8" background="1" saveData="1">
    <dbPr connection="Provider=Microsoft.Mashup.OleDb.1;Data Source=$Workbook$;Location=&quot;GenderPercentMalevsFemale (2)&quot;;Extended Properties=&quot;&quot;" command="SELECT * FROM [GenderPercentMalevsFemale (2)]"/>
  </connection>
  <connection id="11" xr16:uid="{1F9BAEF4-F4ED-4621-ADED-F4AE15276699}" keepAlive="1" name="Query - Most Common Compulsion Type" description="Connection to the 'Most Common Compulsion Type' query in the workbook." type="5" refreshedVersion="0" background="1">
    <dbPr connection="Provider=Microsoft.Mashup.OleDb.1;Data Source=$Workbook$;Location=&quot;Most Common Compulsion Type&quot;;Extended Properties=&quot;&quot;" command="SELECT * FROM [Most Common Compulsion Type]"/>
  </connection>
  <connection id="12" xr16:uid="{CA770D15-88FA-4250-A9F6-B5C1E1106140}" keepAlive="1" name="Query - Most Common Obsession Type" description="Connection to the 'Most Common Obsession Type' query in the workbook." type="5" refreshedVersion="0" background="1">
    <dbPr connection="Provider=Microsoft.Mashup.OleDb.1;Data Source=$Workbook$;Location=&quot;Most Common Obsession Type&quot;;Extended Properties=&quot;&quot;" command="SELECT * FROM [Most Common Obsession Type]"/>
  </connection>
  <connection id="13" xr16:uid="{8DB684C0-E27C-4A77-8174-D9E79971083F}" keepAlive="1" name="Query - PercentMalevsFemale" description="Connection to the 'PercentMalevsFemale' query in the workbook." type="5" refreshedVersion="0" background="1">
    <dbPr connection="Provider=Microsoft.Mashup.OleDb.1;Data Source=$Workbook$;Location=PercentMalevsFemale;Extended Properties=&quot;&quot;" command="SELECT * FROM [PercentMalevsFemale]"/>
  </connection>
</connections>
</file>

<file path=xl/sharedStrings.xml><?xml version="1.0" encoding="utf-8"?>
<sst xmlns="http://schemas.openxmlformats.org/spreadsheetml/2006/main" count="74" uniqueCount="38">
  <si>
    <t>Ethnicity</t>
  </si>
  <si>
    <t>patient_count</t>
  </si>
  <si>
    <t>avg_obs_score</t>
  </si>
  <si>
    <t>African</t>
  </si>
  <si>
    <t>Asian</t>
  </si>
  <si>
    <t>Hispanic</t>
  </si>
  <si>
    <t>Caucasian</t>
  </si>
  <si>
    <t>YEAR</t>
  </si>
  <si>
    <t>Compulsion Type</t>
  </si>
  <si>
    <t>com_score</t>
  </si>
  <si>
    <t>Ordering</t>
  </si>
  <si>
    <t>Praying</t>
  </si>
  <si>
    <t>Checking</t>
  </si>
  <si>
    <t>Counting</t>
  </si>
  <si>
    <t>Washing</t>
  </si>
  <si>
    <t>Obsession Type</t>
  </si>
  <si>
    <t>obs_score</t>
  </si>
  <si>
    <t>Hoarding</t>
  </si>
  <si>
    <t>Symmetry</t>
  </si>
  <si>
    <t>Religious</t>
  </si>
  <si>
    <t>Contamination</t>
  </si>
  <si>
    <t>Harm-related</t>
  </si>
  <si>
    <t>Row Labels</t>
  </si>
  <si>
    <t>Grand Total</t>
  </si>
  <si>
    <t>Sum of patient_count</t>
  </si>
  <si>
    <t>Number of Diagnoses</t>
  </si>
  <si>
    <t>Sum of avg_obs_score</t>
  </si>
  <si>
    <t>Obsession Score</t>
  </si>
  <si>
    <t>Patient Count</t>
  </si>
  <si>
    <t>Compulsion Score</t>
  </si>
  <si>
    <t>Gender</t>
  </si>
  <si>
    <t>Female</t>
  </si>
  <si>
    <t>Male</t>
  </si>
  <si>
    <t>count_female</t>
  </si>
  <si>
    <t>count_male</t>
  </si>
  <si>
    <t>pct_female</t>
  </si>
  <si>
    <t>pct_male</t>
  </si>
  <si>
    <t>Sum of Sum of avg_obs_score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</si>
</sst>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2">
    <border>
      <left/>
      <right/>
      <top/>
      <bottom/>
      <diagonal/>
    </border>
    <border>
      <left/>
      <right/>
      <top style="thin">
        <color theme="9" tint="0.39997558519241921"/>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3" borderId="1" xfId="0" applyFill="1" applyBorder="1"/>
    <xf numFmtId="0" fontId="0" fillId="0" borderId="1" xfId="0" applyBorder="1"/>
    <xf numFmtId="0" fontId="1" fillId="2" borderId="0" xfId="0" applyFont="1" applyFill="1"/>
  </cellXfs>
  <cellStyles count="1">
    <cellStyle name="Normal" xfId="0" builtinId="0"/>
  </cellStyles>
  <dxfs count="13">
    <dxf>
      <numFmt numFmtId="0" formatCode="General"/>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s>
  <tableStyles count="0" defaultTableStyle="TableStyleMedium2" defaultPivotStyle="PivotStyleLight16"/>
  <colors>
    <mruColors>
      <color rgb="FF449328"/>
      <color rgb="FF92C0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OCD Patient Demographics.xlsx]DiagnosesPerYear(PivotTable)!PivotTable5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Diagnoses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'DiagnosesPerYear(PivotTable)'!$B$3</c:f>
              <c:strCache>
                <c:ptCount val="1"/>
                <c:pt idx="0">
                  <c:v>Total</c:v>
                </c:pt>
              </c:strCache>
            </c:strRef>
          </c:tx>
          <c:spPr>
            <a:ln w="28575" cap="rnd">
              <a:solidFill>
                <a:schemeClr val="accent6"/>
              </a:solidFill>
              <a:round/>
            </a:ln>
            <a:effectLst/>
          </c:spPr>
          <c:marker>
            <c:symbol val="none"/>
          </c:marker>
          <c:cat>
            <c:strRef>
              <c:f>'DiagnosesPerYear(PivotTable)'!$A$4:$A$14</c:f>
              <c:strCache>
                <c:ptCount val="10"/>
                <c:pt idx="0">
                  <c:v>2013</c:v>
                </c:pt>
                <c:pt idx="1">
                  <c:v>2014</c:v>
                </c:pt>
                <c:pt idx="2">
                  <c:v>2015</c:v>
                </c:pt>
                <c:pt idx="3">
                  <c:v>2016</c:v>
                </c:pt>
                <c:pt idx="4">
                  <c:v>2017</c:v>
                </c:pt>
                <c:pt idx="5">
                  <c:v>2018</c:v>
                </c:pt>
                <c:pt idx="6">
                  <c:v>2019</c:v>
                </c:pt>
                <c:pt idx="7">
                  <c:v>2020</c:v>
                </c:pt>
                <c:pt idx="8">
                  <c:v>2021</c:v>
                </c:pt>
                <c:pt idx="9">
                  <c:v>2022</c:v>
                </c:pt>
              </c:strCache>
            </c:strRef>
          </c:cat>
          <c:val>
            <c:numRef>
              <c:f>'DiagnosesPerYear(PivotTable)'!$B$4:$B$14</c:f>
              <c:numCache>
                <c:formatCode>General</c:formatCode>
                <c:ptCount val="10"/>
                <c:pt idx="0">
                  <c:v>18</c:v>
                </c:pt>
                <c:pt idx="1">
                  <c:v>157</c:v>
                </c:pt>
                <c:pt idx="2">
                  <c:v>170</c:v>
                </c:pt>
                <c:pt idx="3">
                  <c:v>163</c:v>
                </c:pt>
                <c:pt idx="4">
                  <c:v>163</c:v>
                </c:pt>
                <c:pt idx="5">
                  <c:v>204</c:v>
                </c:pt>
                <c:pt idx="6">
                  <c:v>167</c:v>
                </c:pt>
                <c:pt idx="7">
                  <c:v>169</c:v>
                </c:pt>
                <c:pt idx="8">
                  <c:v>150</c:v>
                </c:pt>
                <c:pt idx="9">
                  <c:v>139</c:v>
                </c:pt>
              </c:numCache>
            </c:numRef>
          </c:val>
          <c:smooth val="0"/>
          <c:extLst>
            <c:ext xmlns:c16="http://schemas.microsoft.com/office/drawing/2014/chart" uri="{C3380CC4-5D6E-409C-BE32-E72D297353CC}">
              <c16:uniqueId val="{00000000-2D89-4247-BA58-8B0206127F60}"/>
            </c:ext>
          </c:extLst>
        </c:ser>
        <c:dLbls>
          <c:showLegendKey val="0"/>
          <c:showVal val="0"/>
          <c:showCatName val="0"/>
          <c:showSerName val="0"/>
          <c:showPercent val="0"/>
          <c:showBubbleSize val="0"/>
        </c:dLbls>
        <c:smooth val="0"/>
        <c:axId val="1369240560"/>
        <c:axId val="1369241040"/>
      </c:lineChart>
      <c:catAx>
        <c:axId val="1369240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41040"/>
        <c:crosses val="autoZero"/>
        <c:auto val="1"/>
        <c:lblAlgn val="ctr"/>
        <c:lblOffset val="100"/>
        <c:noMultiLvlLbl val="0"/>
      </c:catAx>
      <c:valAx>
        <c:axId val="1369241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Number of Diagnoses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4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OCD Patient Demographics.xlsx]Ethnicity(PivotTable)!PivotTable7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Obsession</a:t>
            </a:r>
            <a:r>
              <a:rPr lang="en-AU" baseline="0"/>
              <a:t> Score &amp; Patient Count by Ethnicity</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'Ethnicity(PivotTable)'!$B$3</c:f>
              <c:strCache>
                <c:ptCount val="1"/>
                <c:pt idx="0">
                  <c:v>Obsession Score</c:v>
                </c:pt>
              </c:strCache>
            </c:strRef>
          </c:tx>
          <c:spPr>
            <a:solidFill>
              <a:schemeClr val="accent6"/>
            </a:solidFill>
            <a:ln>
              <a:noFill/>
            </a:ln>
            <a:effectLst/>
          </c:spPr>
          <c:invertIfNegative val="0"/>
          <c:cat>
            <c:strRef>
              <c:f>'Ethnicity(PivotTable)'!$A$4:$A$8</c:f>
              <c:strCache>
                <c:ptCount val="4"/>
                <c:pt idx="0">
                  <c:v>African</c:v>
                </c:pt>
                <c:pt idx="1">
                  <c:v>Asian</c:v>
                </c:pt>
                <c:pt idx="2">
                  <c:v>Caucasian</c:v>
                </c:pt>
                <c:pt idx="3">
                  <c:v>Hispanic</c:v>
                </c:pt>
              </c:strCache>
            </c:strRef>
          </c:cat>
          <c:val>
            <c:numRef>
              <c:f>'Ethnicity(PivotTable)'!$B$4:$B$8</c:f>
              <c:numCache>
                <c:formatCode>General</c:formatCode>
                <c:ptCount val="4"/>
                <c:pt idx="0">
                  <c:v>19.760000000000002</c:v>
                </c:pt>
                <c:pt idx="1">
                  <c:v>20.32</c:v>
                </c:pt>
                <c:pt idx="2">
                  <c:v>19.79</c:v>
                </c:pt>
                <c:pt idx="3">
                  <c:v>20.28</c:v>
                </c:pt>
              </c:numCache>
            </c:numRef>
          </c:val>
          <c:extLst>
            <c:ext xmlns:c16="http://schemas.microsoft.com/office/drawing/2014/chart" uri="{C3380CC4-5D6E-409C-BE32-E72D297353CC}">
              <c16:uniqueId val="{00000002-803D-4D22-AD80-8358E12388B1}"/>
            </c:ext>
          </c:extLst>
        </c:ser>
        <c:dLbls>
          <c:showLegendKey val="0"/>
          <c:showVal val="0"/>
          <c:showCatName val="0"/>
          <c:showSerName val="0"/>
          <c:showPercent val="0"/>
          <c:showBubbleSize val="0"/>
        </c:dLbls>
        <c:gapWidth val="219"/>
        <c:axId val="1946513887"/>
        <c:axId val="1946510527"/>
      </c:barChart>
      <c:lineChart>
        <c:grouping val="standard"/>
        <c:varyColors val="0"/>
        <c:ser>
          <c:idx val="1"/>
          <c:order val="1"/>
          <c:tx>
            <c:strRef>
              <c:f>'Ethnicity(PivotTable)'!$C$3</c:f>
              <c:strCache>
                <c:ptCount val="1"/>
                <c:pt idx="0">
                  <c:v>Patient Count</c:v>
                </c:pt>
              </c:strCache>
            </c:strRef>
          </c:tx>
          <c:spPr>
            <a:ln w="28575" cap="rnd">
              <a:solidFill>
                <a:schemeClr val="accent5"/>
              </a:solidFill>
              <a:round/>
            </a:ln>
            <a:effectLst/>
          </c:spPr>
          <c:marker>
            <c:symbol val="none"/>
          </c:marker>
          <c:cat>
            <c:strRef>
              <c:f>'Ethnicity(PivotTable)'!$A$4:$A$8</c:f>
              <c:strCache>
                <c:ptCount val="4"/>
                <c:pt idx="0">
                  <c:v>African</c:v>
                </c:pt>
                <c:pt idx="1">
                  <c:v>Asian</c:v>
                </c:pt>
                <c:pt idx="2">
                  <c:v>Caucasian</c:v>
                </c:pt>
                <c:pt idx="3">
                  <c:v>Hispanic</c:v>
                </c:pt>
              </c:strCache>
            </c:strRef>
          </c:cat>
          <c:val>
            <c:numRef>
              <c:f>'Ethnicity(PivotTable)'!$C$4:$C$8</c:f>
              <c:numCache>
                <c:formatCode>General</c:formatCode>
                <c:ptCount val="4"/>
                <c:pt idx="0">
                  <c:v>324</c:v>
                </c:pt>
                <c:pt idx="1">
                  <c:v>386</c:v>
                </c:pt>
                <c:pt idx="2">
                  <c:v>398</c:v>
                </c:pt>
                <c:pt idx="3">
                  <c:v>392</c:v>
                </c:pt>
              </c:numCache>
            </c:numRef>
          </c:val>
          <c:smooth val="0"/>
          <c:extLst>
            <c:ext xmlns:c16="http://schemas.microsoft.com/office/drawing/2014/chart" uri="{C3380CC4-5D6E-409C-BE32-E72D297353CC}">
              <c16:uniqueId val="{00000003-803D-4D22-AD80-8358E12388B1}"/>
            </c:ext>
          </c:extLst>
        </c:ser>
        <c:dLbls>
          <c:showLegendKey val="0"/>
          <c:showVal val="0"/>
          <c:showCatName val="0"/>
          <c:showSerName val="0"/>
          <c:showPercent val="0"/>
          <c:showBubbleSize val="0"/>
        </c:dLbls>
        <c:marker val="1"/>
        <c:smooth val="0"/>
        <c:axId val="1363039808"/>
        <c:axId val="1363037408"/>
      </c:lineChart>
      <c:catAx>
        <c:axId val="1946513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Ethnicity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10527"/>
        <c:crosses val="autoZero"/>
        <c:auto val="1"/>
        <c:lblAlgn val="ctr"/>
        <c:lblOffset val="100"/>
        <c:noMultiLvlLbl val="0"/>
      </c:catAx>
      <c:valAx>
        <c:axId val="1946510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Average</a:t>
                </a:r>
                <a:r>
                  <a:rPr lang="en-AU" baseline="0"/>
                  <a:t> Obsession Score (Blue)</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13887"/>
        <c:crosses val="autoZero"/>
        <c:crossBetween val="between"/>
      </c:valAx>
      <c:valAx>
        <c:axId val="136303740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Patient</a:t>
                </a:r>
                <a:r>
                  <a:rPr lang="en-AU" baseline="0"/>
                  <a:t> Count</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039808"/>
        <c:crosses val="max"/>
        <c:crossBetween val="between"/>
      </c:valAx>
      <c:catAx>
        <c:axId val="1363039808"/>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037408"/>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OCD Patient Demographics.xlsx]ObsessionType(PivotTable)!PivotTable8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Most Common Obession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'ObsessionType(PivotTable)'!$B$3</c:f>
              <c:strCache>
                <c:ptCount val="1"/>
                <c:pt idx="0">
                  <c:v>Patient Count</c:v>
                </c:pt>
              </c:strCache>
            </c:strRef>
          </c:tx>
          <c:spPr>
            <a:solidFill>
              <a:schemeClr val="accent6"/>
            </a:solidFill>
            <a:ln>
              <a:noFill/>
            </a:ln>
            <a:effectLst/>
          </c:spPr>
          <c:invertIfNegative val="0"/>
          <c:cat>
            <c:strRef>
              <c:f>'ObsessionType(PivotTable)'!$A$4:$A$9</c:f>
              <c:strCache>
                <c:ptCount val="5"/>
                <c:pt idx="0">
                  <c:v>Contamination</c:v>
                </c:pt>
                <c:pt idx="1">
                  <c:v>Harm-related</c:v>
                </c:pt>
                <c:pt idx="2">
                  <c:v>Hoarding</c:v>
                </c:pt>
                <c:pt idx="3">
                  <c:v>Religious</c:v>
                </c:pt>
                <c:pt idx="4">
                  <c:v>Symmetry</c:v>
                </c:pt>
              </c:strCache>
            </c:strRef>
          </c:cat>
          <c:val>
            <c:numRef>
              <c:f>'ObsessionType(PivotTable)'!$B$4:$B$9</c:f>
              <c:numCache>
                <c:formatCode>General</c:formatCode>
                <c:ptCount val="5"/>
                <c:pt idx="0">
                  <c:v>306</c:v>
                </c:pt>
                <c:pt idx="1">
                  <c:v>333</c:v>
                </c:pt>
                <c:pt idx="2">
                  <c:v>278</c:v>
                </c:pt>
                <c:pt idx="3">
                  <c:v>303</c:v>
                </c:pt>
                <c:pt idx="4">
                  <c:v>280</c:v>
                </c:pt>
              </c:numCache>
            </c:numRef>
          </c:val>
          <c:extLst>
            <c:ext xmlns:c16="http://schemas.microsoft.com/office/drawing/2014/chart" uri="{C3380CC4-5D6E-409C-BE32-E72D297353CC}">
              <c16:uniqueId val="{00000000-A232-43C6-9210-939D7038465D}"/>
            </c:ext>
          </c:extLst>
        </c:ser>
        <c:dLbls>
          <c:showLegendKey val="0"/>
          <c:showVal val="0"/>
          <c:showCatName val="0"/>
          <c:showSerName val="0"/>
          <c:showPercent val="0"/>
          <c:showBubbleSize val="0"/>
        </c:dLbls>
        <c:gapWidth val="219"/>
        <c:overlap val="-27"/>
        <c:axId val="1948159407"/>
        <c:axId val="1948161327"/>
      </c:barChart>
      <c:lineChart>
        <c:grouping val="standard"/>
        <c:varyColors val="0"/>
        <c:ser>
          <c:idx val="1"/>
          <c:order val="1"/>
          <c:tx>
            <c:strRef>
              <c:f>'ObsessionType(PivotTable)'!$C$3</c:f>
              <c:strCache>
                <c:ptCount val="1"/>
                <c:pt idx="0">
                  <c:v>Obsession Score</c:v>
                </c:pt>
              </c:strCache>
            </c:strRef>
          </c:tx>
          <c:spPr>
            <a:ln w="28575" cap="rnd">
              <a:solidFill>
                <a:schemeClr val="accent5"/>
              </a:solidFill>
              <a:round/>
            </a:ln>
            <a:effectLst/>
          </c:spPr>
          <c:marker>
            <c:symbol val="none"/>
          </c:marker>
          <c:cat>
            <c:strRef>
              <c:f>'ObsessionType(PivotTable)'!$A$4:$A$9</c:f>
              <c:strCache>
                <c:ptCount val="5"/>
                <c:pt idx="0">
                  <c:v>Contamination</c:v>
                </c:pt>
                <c:pt idx="1">
                  <c:v>Harm-related</c:v>
                </c:pt>
                <c:pt idx="2">
                  <c:v>Hoarding</c:v>
                </c:pt>
                <c:pt idx="3">
                  <c:v>Religious</c:v>
                </c:pt>
                <c:pt idx="4">
                  <c:v>Symmetry</c:v>
                </c:pt>
              </c:strCache>
            </c:strRef>
          </c:cat>
          <c:val>
            <c:numRef>
              <c:f>'ObsessionType(PivotTable)'!$C$4:$C$9</c:f>
              <c:numCache>
                <c:formatCode>General</c:formatCode>
                <c:ptCount val="5"/>
                <c:pt idx="0">
                  <c:v>19.670000000000002</c:v>
                </c:pt>
                <c:pt idx="1">
                  <c:v>20.65</c:v>
                </c:pt>
                <c:pt idx="2">
                  <c:v>21.01</c:v>
                </c:pt>
                <c:pt idx="3">
                  <c:v>19.23</c:v>
                </c:pt>
                <c:pt idx="4">
                  <c:v>19.670000000000002</c:v>
                </c:pt>
              </c:numCache>
            </c:numRef>
          </c:val>
          <c:smooth val="0"/>
          <c:extLst>
            <c:ext xmlns:c16="http://schemas.microsoft.com/office/drawing/2014/chart" uri="{C3380CC4-5D6E-409C-BE32-E72D297353CC}">
              <c16:uniqueId val="{00000001-A232-43C6-9210-939D7038465D}"/>
            </c:ext>
          </c:extLst>
        </c:ser>
        <c:dLbls>
          <c:showLegendKey val="0"/>
          <c:showVal val="0"/>
          <c:showCatName val="0"/>
          <c:showSerName val="0"/>
          <c:showPercent val="0"/>
          <c:showBubbleSize val="0"/>
        </c:dLbls>
        <c:marker val="1"/>
        <c:smooth val="0"/>
        <c:axId val="1734862959"/>
        <c:axId val="1734866319"/>
      </c:lineChart>
      <c:catAx>
        <c:axId val="1948159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Obsession</a:t>
                </a:r>
                <a:r>
                  <a:rPr lang="en-AU" baseline="0"/>
                  <a:t> Type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161327"/>
        <c:crosses val="autoZero"/>
        <c:auto val="1"/>
        <c:lblAlgn val="ctr"/>
        <c:lblOffset val="100"/>
        <c:noMultiLvlLbl val="0"/>
      </c:catAx>
      <c:valAx>
        <c:axId val="1948161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Patient</a:t>
                </a:r>
                <a:r>
                  <a:rPr lang="en-AU" baseline="0"/>
                  <a:t> Count (Blue)</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159407"/>
        <c:crosses val="autoZero"/>
        <c:crossBetween val="between"/>
      </c:valAx>
      <c:valAx>
        <c:axId val="173486631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Average Obsession</a:t>
                </a:r>
                <a:r>
                  <a:rPr lang="en-AU" baseline="0"/>
                  <a:t> Score (Orange)</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862959"/>
        <c:crosses val="max"/>
        <c:crossBetween val="between"/>
      </c:valAx>
      <c:catAx>
        <c:axId val="1734862959"/>
        <c:scaling>
          <c:orientation val="minMax"/>
        </c:scaling>
        <c:delete val="1"/>
        <c:axPos val="b"/>
        <c:numFmt formatCode="General" sourceLinked="1"/>
        <c:majorTickMark val="out"/>
        <c:minorTickMark val="none"/>
        <c:tickLblPos val="nextTo"/>
        <c:crossAx val="17348663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OCD Patient Demographics.xlsx]CompulsionType(PivotChart)!PivotTable9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Most</a:t>
            </a:r>
            <a:r>
              <a:rPr lang="en-AU" baseline="0"/>
              <a:t> Common Compulsion Types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'CompulsionType(PivotChart)'!$B$3</c:f>
              <c:strCache>
                <c:ptCount val="1"/>
                <c:pt idx="0">
                  <c:v>Patient Count</c:v>
                </c:pt>
              </c:strCache>
            </c:strRef>
          </c:tx>
          <c:spPr>
            <a:solidFill>
              <a:schemeClr val="accent6"/>
            </a:solidFill>
            <a:ln>
              <a:noFill/>
            </a:ln>
            <a:effectLst/>
          </c:spPr>
          <c:invertIfNegative val="0"/>
          <c:cat>
            <c:strRef>
              <c:f>'CompulsionType(PivotChart)'!$A$4:$A$9</c:f>
              <c:strCache>
                <c:ptCount val="5"/>
                <c:pt idx="0">
                  <c:v>Checking</c:v>
                </c:pt>
                <c:pt idx="1">
                  <c:v>Counting</c:v>
                </c:pt>
                <c:pt idx="2">
                  <c:v>Ordering</c:v>
                </c:pt>
                <c:pt idx="3">
                  <c:v>Praying</c:v>
                </c:pt>
                <c:pt idx="4">
                  <c:v>Washing</c:v>
                </c:pt>
              </c:strCache>
            </c:strRef>
          </c:cat>
          <c:val>
            <c:numRef>
              <c:f>'CompulsionType(PivotChart)'!$B$4:$B$9</c:f>
              <c:numCache>
                <c:formatCode>General</c:formatCode>
                <c:ptCount val="5"/>
                <c:pt idx="0">
                  <c:v>292</c:v>
                </c:pt>
                <c:pt idx="1">
                  <c:v>316</c:v>
                </c:pt>
                <c:pt idx="2">
                  <c:v>285</c:v>
                </c:pt>
                <c:pt idx="3">
                  <c:v>286</c:v>
                </c:pt>
                <c:pt idx="4">
                  <c:v>321</c:v>
                </c:pt>
              </c:numCache>
            </c:numRef>
          </c:val>
          <c:extLst>
            <c:ext xmlns:c16="http://schemas.microsoft.com/office/drawing/2014/chart" uri="{C3380CC4-5D6E-409C-BE32-E72D297353CC}">
              <c16:uniqueId val="{00000000-FC6F-4FFE-A180-4D1EEF0CB67B}"/>
            </c:ext>
          </c:extLst>
        </c:ser>
        <c:dLbls>
          <c:showLegendKey val="0"/>
          <c:showVal val="0"/>
          <c:showCatName val="0"/>
          <c:showSerName val="0"/>
          <c:showPercent val="0"/>
          <c:showBubbleSize val="0"/>
        </c:dLbls>
        <c:gapWidth val="219"/>
        <c:overlap val="-27"/>
        <c:axId val="1940510559"/>
        <c:axId val="1941945087"/>
      </c:barChart>
      <c:lineChart>
        <c:grouping val="standard"/>
        <c:varyColors val="0"/>
        <c:ser>
          <c:idx val="1"/>
          <c:order val="1"/>
          <c:tx>
            <c:strRef>
              <c:f>'CompulsionType(PivotChart)'!$C$3</c:f>
              <c:strCache>
                <c:ptCount val="1"/>
                <c:pt idx="0">
                  <c:v>Compulsion Score</c:v>
                </c:pt>
              </c:strCache>
            </c:strRef>
          </c:tx>
          <c:spPr>
            <a:ln w="28575" cap="rnd">
              <a:solidFill>
                <a:schemeClr val="accent5"/>
              </a:solidFill>
              <a:round/>
            </a:ln>
            <a:effectLst/>
          </c:spPr>
          <c:marker>
            <c:symbol val="none"/>
          </c:marker>
          <c:cat>
            <c:strRef>
              <c:f>'CompulsionType(PivotChart)'!$A$4:$A$9</c:f>
              <c:strCache>
                <c:ptCount val="5"/>
                <c:pt idx="0">
                  <c:v>Checking</c:v>
                </c:pt>
                <c:pt idx="1">
                  <c:v>Counting</c:v>
                </c:pt>
                <c:pt idx="2">
                  <c:v>Ordering</c:v>
                </c:pt>
                <c:pt idx="3">
                  <c:v>Praying</c:v>
                </c:pt>
                <c:pt idx="4">
                  <c:v>Washing</c:v>
                </c:pt>
              </c:strCache>
            </c:strRef>
          </c:cat>
          <c:val>
            <c:numRef>
              <c:f>'CompulsionType(PivotChart)'!$C$4:$C$9</c:f>
              <c:numCache>
                <c:formatCode>General</c:formatCode>
                <c:ptCount val="5"/>
                <c:pt idx="0">
                  <c:v>17.920000000000002</c:v>
                </c:pt>
                <c:pt idx="1">
                  <c:v>19.66</c:v>
                </c:pt>
                <c:pt idx="2">
                  <c:v>20.23</c:v>
                </c:pt>
                <c:pt idx="3">
                  <c:v>20.73</c:v>
                </c:pt>
                <c:pt idx="4">
                  <c:v>19.63</c:v>
                </c:pt>
              </c:numCache>
            </c:numRef>
          </c:val>
          <c:smooth val="0"/>
          <c:extLst>
            <c:ext xmlns:c16="http://schemas.microsoft.com/office/drawing/2014/chart" uri="{C3380CC4-5D6E-409C-BE32-E72D297353CC}">
              <c16:uniqueId val="{00000001-FC6F-4FFE-A180-4D1EEF0CB67B}"/>
            </c:ext>
          </c:extLst>
        </c:ser>
        <c:dLbls>
          <c:showLegendKey val="0"/>
          <c:showVal val="0"/>
          <c:showCatName val="0"/>
          <c:showSerName val="0"/>
          <c:showPercent val="0"/>
          <c:showBubbleSize val="0"/>
        </c:dLbls>
        <c:marker val="1"/>
        <c:smooth val="0"/>
        <c:axId val="1741092079"/>
        <c:axId val="1741091119"/>
      </c:lineChart>
      <c:catAx>
        <c:axId val="194051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Compulsion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945087"/>
        <c:crosses val="autoZero"/>
        <c:auto val="1"/>
        <c:lblAlgn val="ctr"/>
        <c:lblOffset val="100"/>
        <c:noMultiLvlLbl val="0"/>
      </c:catAx>
      <c:valAx>
        <c:axId val="1941945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Patient</a:t>
                </a:r>
                <a:r>
                  <a:rPr lang="en-AU" baseline="0"/>
                  <a:t> Count (Blue)</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510559"/>
        <c:crosses val="autoZero"/>
        <c:crossBetween val="between"/>
      </c:valAx>
      <c:valAx>
        <c:axId val="174109111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Average</a:t>
                </a:r>
                <a:r>
                  <a:rPr lang="en-AU" baseline="0"/>
                  <a:t> Compulsion Score (Orange)</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92079"/>
        <c:crosses val="max"/>
        <c:crossBetween val="between"/>
      </c:valAx>
      <c:catAx>
        <c:axId val="1741092079"/>
        <c:scaling>
          <c:orientation val="minMax"/>
        </c:scaling>
        <c:delete val="1"/>
        <c:axPos val="b"/>
        <c:numFmt formatCode="General" sourceLinked="1"/>
        <c:majorTickMark val="out"/>
        <c:minorTickMark val="none"/>
        <c:tickLblPos val="nextTo"/>
        <c:crossAx val="17410911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 OCD Patient Demographics.xlsx]Gender(PivotTable)!PivotTable10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 Count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161D05-44AE-4EC1-8C32-418E8F64431F}" type="VALUE">
                  <a:rPr lang="en-US"/>
                  <a:pPr>
                    <a:defRPr/>
                  </a:pPr>
                  <a:t>[VALUE]</a:t>
                </a:fld>
                <a:endParaRPr lang="en-US"/>
              </a:p>
              <a:p>
                <a:pPr>
                  <a:defRPr/>
                </a:pPr>
                <a:r>
                  <a:rPr lang="en-US"/>
                  <a:t>(50.2%)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7162EF-0A7E-4783-8D47-F9075254948B}" type="VALUE">
                  <a:rPr lang="en-US"/>
                  <a:pPr>
                    <a:defRPr/>
                  </a:pPr>
                  <a:t>[VALUE]</a:t>
                </a:fld>
                <a:endParaRPr lang="en-US"/>
              </a:p>
              <a:p>
                <a:pPr>
                  <a:defRPr/>
                </a:pPr>
                <a:r>
                  <a:rPr lang="en-US"/>
                  <a:t>(49.8%)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s>
    <c:plotArea>
      <c:layout/>
      <c:pieChart>
        <c:varyColors val="1"/>
        <c:ser>
          <c:idx val="0"/>
          <c:order val="0"/>
          <c:tx>
            <c:strRef>
              <c:f>'Gender(PivotTable)'!$B$3</c:f>
              <c:strCache>
                <c:ptCount val="1"/>
                <c:pt idx="0">
                  <c:v>Sum of patient_count</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4-3A0D-42D4-BC1C-CD75AB767111}"/>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3A0D-42D4-BC1C-CD75AB767111}"/>
              </c:ext>
            </c:extLst>
          </c:dPt>
          <c:dLbls>
            <c:dLbl>
              <c:idx val="0"/>
              <c:tx>
                <c:rich>
                  <a:bodyPr/>
                  <a:lstStyle/>
                  <a:p>
                    <a:fld id="{C57162EF-0A7E-4783-8D47-F9075254948B}" type="VALUE">
                      <a:rPr lang="en-US"/>
                      <a:pPr/>
                      <a:t>[VALUE]</a:t>
                    </a:fld>
                    <a:endParaRPr lang="en-US"/>
                  </a:p>
                  <a:p>
                    <a:r>
                      <a:rPr lang="en-US"/>
                      <a:t>(49.8%)</a:t>
                    </a:r>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A0D-42D4-BC1C-CD75AB767111}"/>
                </c:ext>
              </c:extLst>
            </c:dLbl>
            <c:dLbl>
              <c:idx val="1"/>
              <c:tx>
                <c:rich>
                  <a:bodyPr/>
                  <a:lstStyle/>
                  <a:p>
                    <a:fld id="{B4161D05-44AE-4EC1-8C32-418E8F64431F}" type="VALUE">
                      <a:rPr lang="en-US"/>
                      <a:pPr/>
                      <a:t>[VALUE]</a:t>
                    </a:fld>
                    <a:endParaRPr lang="en-US"/>
                  </a:p>
                  <a:p>
                    <a:r>
                      <a:rPr lang="en-US"/>
                      <a:t>(50.2%)</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A0D-42D4-BC1C-CD75AB7671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'Gender(PivotTable)'!$A$4:$A$6</c:f>
              <c:strCache>
                <c:ptCount val="2"/>
                <c:pt idx="0">
                  <c:v>Female</c:v>
                </c:pt>
                <c:pt idx="1">
                  <c:v>Male</c:v>
                </c:pt>
              </c:strCache>
            </c:strRef>
          </c:cat>
          <c:val>
            <c:numRef>
              <c:f>'Gender(PivotTable)'!$B$4:$B$6</c:f>
              <c:numCache>
                <c:formatCode>General</c:formatCode>
                <c:ptCount val="2"/>
                <c:pt idx="0">
                  <c:v>747</c:v>
                </c:pt>
                <c:pt idx="1">
                  <c:v>753</c:v>
                </c:pt>
              </c:numCache>
            </c:numRef>
          </c:val>
          <c:extLst>
            <c:ext xmlns:c16="http://schemas.microsoft.com/office/drawing/2014/chart" uri="{C3380CC4-5D6E-409C-BE32-E72D297353CC}">
              <c16:uniqueId val="{00000000-3A0D-42D4-BC1C-CD75AB767111}"/>
            </c:ext>
          </c:extLst>
        </c:ser>
        <c:ser>
          <c:idx val="1"/>
          <c:order val="1"/>
          <c:tx>
            <c:strRef>
              <c:f>'Gender(PivotTable)'!$C$3</c:f>
              <c:strCache>
                <c:ptCount val="1"/>
                <c:pt idx="0">
                  <c:v>Sum of avg_obs_score</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5-BB01-4D45-9153-807CBAC5A9C8}"/>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BB01-4D45-9153-807CBAC5A9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'Gender(PivotTable)'!$A$4:$A$6</c:f>
              <c:strCache>
                <c:ptCount val="2"/>
                <c:pt idx="0">
                  <c:v>Female</c:v>
                </c:pt>
                <c:pt idx="1">
                  <c:v>Male</c:v>
                </c:pt>
              </c:strCache>
            </c:strRef>
          </c:cat>
          <c:val>
            <c:numRef>
              <c:f>'Gender(PivotTable)'!$C$4:$C$6</c:f>
              <c:numCache>
                <c:formatCode>General</c:formatCode>
                <c:ptCount val="2"/>
                <c:pt idx="0">
                  <c:v>20.195399999999999</c:v>
                </c:pt>
                <c:pt idx="1">
                  <c:v>19.901700000000002</c:v>
                </c:pt>
              </c:numCache>
            </c:numRef>
          </c:val>
          <c:extLst>
            <c:ext xmlns:c16="http://schemas.microsoft.com/office/drawing/2014/chart" uri="{C3380CC4-5D6E-409C-BE32-E72D297353CC}">
              <c16:uniqueId val="{00000001-3A0D-42D4-BC1C-CD75AB76711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 OCD Patient Demographics.xlsx]Gender(PivotTable)!PivotTable15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Obsession Score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'Gender(PivotTable)'!$C$28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'Gender(PivotTable)'!$B$29:$B$31</c:f>
              <c:strCache>
                <c:ptCount val="2"/>
                <c:pt idx="0">
                  <c:v>Female</c:v>
                </c:pt>
                <c:pt idx="1">
                  <c:v>Male</c:v>
                </c:pt>
              </c:strCache>
            </c:strRef>
          </c:cat>
          <c:val>
            <c:numRef>
              <c:f>'Gender(PivotTable)'!$C$29:$C$31</c:f>
              <c:numCache>
                <c:formatCode>General</c:formatCode>
                <c:ptCount val="2"/>
                <c:pt idx="0">
                  <c:v>20.195399999999999</c:v>
                </c:pt>
                <c:pt idx="1">
                  <c:v>19.901700000000002</c:v>
                </c:pt>
              </c:numCache>
            </c:numRef>
          </c:val>
          <c:extLst>
            <c:ext xmlns:c16="http://schemas.microsoft.com/office/drawing/2014/chart" uri="{C3380CC4-5D6E-409C-BE32-E72D297353CC}">
              <c16:uniqueId val="{00000000-AC90-4FC5-8446-A6945A1A38E9}"/>
            </c:ext>
          </c:extLst>
        </c:ser>
        <c:dLbls>
          <c:dLblPos val="outEnd"/>
          <c:showLegendKey val="0"/>
          <c:showVal val="1"/>
          <c:showCatName val="0"/>
          <c:showSerName val="0"/>
          <c:showPercent val="0"/>
          <c:showBubbleSize val="0"/>
        </c:dLbls>
        <c:gapWidth val="219"/>
        <c:overlap val="-27"/>
        <c:axId val="1368110640"/>
        <c:axId val="1368109200"/>
      </c:barChart>
      <c:catAx>
        <c:axId val="1368110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09200"/>
        <c:crosses val="autoZero"/>
        <c:auto val="1"/>
        <c:lblAlgn val="ctr"/>
        <c:lblOffset val="100"/>
        <c:noMultiLvlLbl val="0"/>
      </c:catAx>
      <c:valAx>
        <c:axId val="1368109200"/>
        <c:scaling>
          <c:orientation val="minMax"/>
          <c:max val="20.2"/>
          <c:min val="1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Average Obsession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1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OCD Patient Demographics.xlsx]CompulsionType(PivotChart)!PivotTable9</c:name>
    <c:fmtId val="6"/>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AU" sz="2000" b="1">
                <a:solidFill>
                  <a:schemeClr val="tx1"/>
                </a:solidFill>
              </a:rPr>
              <a:t>Most</a:t>
            </a:r>
            <a:r>
              <a:rPr lang="en-AU" sz="2000" b="1" baseline="0">
                <a:solidFill>
                  <a:schemeClr val="tx1"/>
                </a:solidFill>
              </a:rPr>
              <a:t> Common Compulsion Types</a:t>
            </a:r>
            <a:endParaRPr lang="en-AU"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AU"/>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'CompulsionType(PivotChart)'!$B$3</c:f>
              <c:strCache>
                <c:ptCount val="1"/>
                <c:pt idx="0">
                  <c:v>Patient Count</c:v>
                </c:pt>
              </c:strCache>
            </c:strRef>
          </c:tx>
          <c:spPr>
            <a:solidFill>
              <a:schemeClr val="accent6"/>
            </a:solidFill>
            <a:ln>
              <a:noFill/>
            </a:ln>
            <a:effectLst/>
          </c:spPr>
          <c:invertIfNegative val="0"/>
          <c:cat>
            <c:strRef>
              <c:f>'CompulsionType(PivotChart)'!$A$4:$A$9</c:f>
              <c:strCache>
                <c:ptCount val="5"/>
                <c:pt idx="0">
                  <c:v>Checking</c:v>
                </c:pt>
                <c:pt idx="1">
                  <c:v>Counting</c:v>
                </c:pt>
                <c:pt idx="2">
                  <c:v>Ordering</c:v>
                </c:pt>
                <c:pt idx="3">
                  <c:v>Praying</c:v>
                </c:pt>
                <c:pt idx="4">
                  <c:v>Washing</c:v>
                </c:pt>
              </c:strCache>
            </c:strRef>
          </c:cat>
          <c:val>
            <c:numRef>
              <c:f>'CompulsionType(PivotChart)'!$B$4:$B$9</c:f>
              <c:numCache>
                <c:formatCode>General</c:formatCode>
                <c:ptCount val="5"/>
                <c:pt idx="0">
                  <c:v>292</c:v>
                </c:pt>
                <c:pt idx="1">
                  <c:v>316</c:v>
                </c:pt>
                <c:pt idx="2">
                  <c:v>285</c:v>
                </c:pt>
                <c:pt idx="3">
                  <c:v>286</c:v>
                </c:pt>
                <c:pt idx="4">
                  <c:v>321</c:v>
                </c:pt>
              </c:numCache>
            </c:numRef>
          </c:val>
          <c:extLst>
            <c:ext xmlns:c16="http://schemas.microsoft.com/office/drawing/2014/chart" uri="{C3380CC4-5D6E-409C-BE32-E72D297353CC}">
              <c16:uniqueId val="{00000000-8C41-48F4-A9FB-778FD7D854D2}"/>
            </c:ext>
          </c:extLst>
        </c:ser>
        <c:dLbls>
          <c:showLegendKey val="0"/>
          <c:showVal val="0"/>
          <c:showCatName val="0"/>
          <c:showSerName val="0"/>
          <c:showPercent val="0"/>
          <c:showBubbleSize val="0"/>
        </c:dLbls>
        <c:gapWidth val="219"/>
        <c:overlap val="-27"/>
        <c:axId val="1940510559"/>
        <c:axId val="1941945087"/>
      </c:barChart>
      <c:lineChart>
        <c:grouping val="standard"/>
        <c:varyColors val="0"/>
        <c:ser>
          <c:idx val="1"/>
          <c:order val="1"/>
          <c:tx>
            <c:strRef>
              <c:f>'CompulsionType(PivotChart)'!$C$3</c:f>
              <c:strCache>
                <c:ptCount val="1"/>
                <c:pt idx="0">
                  <c:v>Compulsion Score</c:v>
                </c:pt>
              </c:strCache>
            </c:strRef>
          </c:tx>
          <c:spPr>
            <a:ln w="28575" cap="rnd">
              <a:solidFill>
                <a:schemeClr val="accent5"/>
              </a:solidFill>
              <a:round/>
            </a:ln>
            <a:effectLst/>
          </c:spPr>
          <c:marker>
            <c:symbol val="none"/>
          </c:marker>
          <c:cat>
            <c:strRef>
              <c:f>'CompulsionType(PivotChart)'!$A$4:$A$9</c:f>
              <c:strCache>
                <c:ptCount val="5"/>
                <c:pt idx="0">
                  <c:v>Checking</c:v>
                </c:pt>
                <c:pt idx="1">
                  <c:v>Counting</c:v>
                </c:pt>
                <c:pt idx="2">
                  <c:v>Ordering</c:v>
                </c:pt>
                <c:pt idx="3">
                  <c:v>Praying</c:v>
                </c:pt>
                <c:pt idx="4">
                  <c:v>Washing</c:v>
                </c:pt>
              </c:strCache>
            </c:strRef>
          </c:cat>
          <c:val>
            <c:numRef>
              <c:f>'CompulsionType(PivotChart)'!$C$4:$C$9</c:f>
              <c:numCache>
                <c:formatCode>General</c:formatCode>
                <c:ptCount val="5"/>
                <c:pt idx="0">
                  <c:v>17.920000000000002</c:v>
                </c:pt>
                <c:pt idx="1">
                  <c:v>19.66</c:v>
                </c:pt>
                <c:pt idx="2">
                  <c:v>20.23</c:v>
                </c:pt>
                <c:pt idx="3">
                  <c:v>20.73</c:v>
                </c:pt>
                <c:pt idx="4">
                  <c:v>19.63</c:v>
                </c:pt>
              </c:numCache>
            </c:numRef>
          </c:val>
          <c:smooth val="0"/>
          <c:extLst>
            <c:ext xmlns:c16="http://schemas.microsoft.com/office/drawing/2014/chart" uri="{C3380CC4-5D6E-409C-BE32-E72D297353CC}">
              <c16:uniqueId val="{00000001-8C41-48F4-A9FB-778FD7D854D2}"/>
            </c:ext>
          </c:extLst>
        </c:ser>
        <c:dLbls>
          <c:showLegendKey val="0"/>
          <c:showVal val="0"/>
          <c:showCatName val="0"/>
          <c:showSerName val="0"/>
          <c:showPercent val="0"/>
          <c:showBubbleSize val="0"/>
        </c:dLbls>
        <c:marker val="1"/>
        <c:smooth val="0"/>
        <c:axId val="1741092079"/>
        <c:axId val="1741091119"/>
      </c:lineChart>
      <c:catAx>
        <c:axId val="194051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600" b="1">
                    <a:solidFill>
                      <a:schemeClr val="tx1"/>
                    </a:solidFill>
                  </a:rPr>
                  <a:t>Compulsion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945087"/>
        <c:crosses val="autoZero"/>
        <c:auto val="1"/>
        <c:lblAlgn val="ctr"/>
        <c:lblOffset val="100"/>
        <c:noMultiLvlLbl val="0"/>
      </c:catAx>
      <c:valAx>
        <c:axId val="1941945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AU" sz="1600" b="1">
                    <a:solidFill>
                      <a:schemeClr val="tx1"/>
                    </a:solidFill>
                  </a:rPr>
                  <a:t>Patient</a:t>
                </a:r>
                <a:r>
                  <a:rPr lang="en-AU" sz="1600" b="1" baseline="0">
                    <a:solidFill>
                      <a:schemeClr val="tx1"/>
                    </a:solidFill>
                  </a:rPr>
                  <a:t> Count (Green)</a:t>
                </a:r>
                <a:endParaRPr lang="en-AU" sz="1600" b="1">
                  <a:solidFill>
                    <a:schemeClr val="tx1"/>
                  </a:solidFill>
                </a:endParaRP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A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510559"/>
        <c:crosses val="autoZero"/>
        <c:crossBetween val="between"/>
      </c:valAx>
      <c:valAx>
        <c:axId val="174109111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600" b="1">
                    <a:solidFill>
                      <a:schemeClr val="tx1"/>
                    </a:solidFill>
                  </a:rPr>
                  <a:t>Average</a:t>
                </a:r>
                <a:r>
                  <a:rPr lang="en-AU" sz="1600" b="1" baseline="0">
                    <a:solidFill>
                      <a:schemeClr val="tx1"/>
                    </a:solidFill>
                  </a:rPr>
                  <a:t> Compulsion Score (Purple)</a:t>
                </a:r>
                <a:endParaRPr lang="en-AU" sz="1600"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92079"/>
        <c:crosses val="max"/>
        <c:crossBetween val="between"/>
      </c:valAx>
      <c:catAx>
        <c:axId val="1741092079"/>
        <c:scaling>
          <c:orientation val="minMax"/>
        </c:scaling>
        <c:delete val="1"/>
        <c:axPos val="b"/>
        <c:numFmt formatCode="General" sourceLinked="1"/>
        <c:majorTickMark val="out"/>
        <c:minorTickMark val="none"/>
        <c:tickLblPos val="nextTo"/>
        <c:crossAx val="17410911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OCD Patient Demographics.xlsx]DiagnosesPerYear(PivotTable)!PivotTable5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Number of Diagnoses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pivotFmt>
      <c:pivotFmt>
        <c:idx val="1"/>
        <c:spPr>
          <a:solidFill>
            <a:schemeClr val="accent6"/>
          </a:solidFill>
          <a:ln w="28575" cap="rnd">
            <a:solidFill>
              <a:schemeClr val="accent6"/>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'DiagnosesPerYear(PivotTable)'!$B$3</c:f>
              <c:strCache>
                <c:ptCount val="1"/>
                <c:pt idx="0">
                  <c:v>Total</c:v>
                </c:pt>
              </c:strCache>
            </c:strRef>
          </c:tx>
          <c:spPr>
            <a:ln w="28575" cap="rnd">
              <a:solidFill>
                <a:schemeClr val="accent6"/>
              </a:solidFill>
              <a:round/>
            </a:ln>
            <a:effectLst/>
          </c:spPr>
          <c:marker>
            <c:symbol val="none"/>
          </c:marker>
          <c:cat>
            <c:strRef>
              <c:f>'DiagnosesPerYear(PivotTable)'!$A$4:$A$14</c:f>
              <c:strCache>
                <c:ptCount val="10"/>
                <c:pt idx="0">
                  <c:v>2013</c:v>
                </c:pt>
                <c:pt idx="1">
                  <c:v>2014</c:v>
                </c:pt>
                <c:pt idx="2">
                  <c:v>2015</c:v>
                </c:pt>
                <c:pt idx="3">
                  <c:v>2016</c:v>
                </c:pt>
                <c:pt idx="4">
                  <c:v>2017</c:v>
                </c:pt>
                <c:pt idx="5">
                  <c:v>2018</c:v>
                </c:pt>
                <c:pt idx="6">
                  <c:v>2019</c:v>
                </c:pt>
                <c:pt idx="7">
                  <c:v>2020</c:v>
                </c:pt>
                <c:pt idx="8">
                  <c:v>2021</c:v>
                </c:pt>
                <c:pt idx="9">
                  <c:v>2022</c:v>
                </c:pt>
              </c:strCache>
            </c:strRef>
          </c:cat>
          <c:val>
            <c:numRef>
              <c:f>'DiagnosesPerYear(PivotTable)'!$B$4:$B$14</c:f>
              <c:numCache>
                <c:formatCode>General</c:formatCode>
                <c:ptCount val="10"/>
                <c:pt idx="0">
                  <c:v>18</c:v>
                </c:pt>
                <c:pt idx="1">
                  <c:v>157</c:v>
                </c:pt>
                <c:pt idx="2">
                  <c:v>170</c:v>
                </c:pt>
                <c:pt idx="3">
                  <c:v>163</c:v>
                </c:pt>
                <c:pt idx="4">
                  <c:v>163</c:v>
                </c:pt>
                <c:pt idx="5">
                  <c:v>204</c:v>
                </c:pt>
                <c:pt idx="6">
                  <c:v>167</c:v>
                </c:pt>
                <c:pt idx="7">
                  <c:v>169</c:v>
                </c:pt>
                <c:pt idx="8">
                  <c:v>150</c:v>
                </c:pt>
                <c:pt idx="9">
                  <c:v>139</c:v>
                </c:pt>
              </c:numCache>
            </c:numRef>
          </c:val>
          <c:smooth val="0"/>
          <c:extLst>
            <c:ext xmlns:c16="http://schemas.microsoft.com/office/drawing/2014/chart" uri="{C3380CC4-5D6E-409C-BE32-E72D297353CC}">
              <c16:uniqueId val="{00000000-DDD3-443E-BD13-B9A783454356}"/>
            </c:ext>
          </c:extLst>
        </c:ser>
        <c:dLbls>
          <c:showLegendKey val="0"/>
          <c:showVal val="0"/>
          <c:showCatName val="0"/>
          <c:showSerName val="0"/>
          <c:showPercent val="0"/>
          <c:showBubbleSize val="0"/>
        </c:dLbls>
        <c:smooth val="0"/>
        <c:axId val="1369240560"/>
        <c:axId val="1369241040"/>
      </c:lineChart>
      <c:catAx>
        <c:axId val="1369240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600" b="1">
                    <a:solidFill>
                      <a:schemeClr val="tx1"/>
                    </a:solidFill>
                  </a:rPr>
                  <a:t>Year</a:t>
                </a:r>
                <a:r>
                  <a:rPr lang="en-AU"/>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41040"/>
        <c:crosses val="autoZero"/>
        <c:auto val="1"/>
        <c:lblAlgn val="ctr"/>
        <c:lblOffset val="100"/>
        <c:noMultiLvlLbl val="0"/>
      </c:catAx>
      <c:valAx>
        <c:axId val="1369241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600" b="1">
                    <a:solidFill>
                      <a:schemeClr val="tx1"/>
                    </a:solidFill>
                  </a:rPr>
                  <a:t>Number of Diagnoses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4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OCD Patient Demographics.xlsx]Ethnicity(PivotTable)!PivotTable7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2000" b="1">
                <a:solidFill>
                  <a:schemeClr val="tx1"/>
                </a:solidFill>
              </a:rPr>
              <a:t>Obsession</a:t>
            </a:r>
            <a:r>
              <a:rPr lang="en-AU" sz="2000" b="1" baseline="0">
                <a:solidFill>
                  <a:schemeClr val="tx1"/>
                </a:solidFill>
              </a:rPr>
              <a:t> Score &amp; Patient Count By Ethnicity</a:t>
            </a:r>
            <a:endParaRPr lang="en-AU"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'Ethnicity(PivotTable)'!$B$3</c:f>
              <c:strCache>
                <c:ptCount val="1"/>
                <c:pt idx="0">
                  <c:v>Obsession Score</c:v>
                </c:pt>
              </c:strCache>
            </c:strRef>
          </c:tx>
          <c:spPr>
            <a:solidFill>
              <a:schemeClr val="accent6"/>
            </a:solidFill>
            <a:ln>
              <a:noFill/>
            </a:ln>
            <a:effectLst/>
          </c:spPr>
          <c:invertIfNegative val="0"/>
          <c:cat>
            <c:strRef>
              <c:f>'Ethnicity(PivotTable)'!$A$4:$A$8</c:f>
              <c:strCache>
                <c:ptCount val="4"/>
                <c:pt idx="0">
                  <c:v>African</c:v>
                </c:pt>
                <c:pt idx="1">
                  <c:v>Asian</c:v>
                </c:pt>
                <c:pt idx="2">
                  <c:v>Caucasian</c:v>
                </c:pt>
                <c:pt idx="3">
                  <c:v>Hispanic</c:v>
                </c:pt>
              </c:strCache>
            </c:strRef>
          </c:cat>
          <c:val>
            <c:numRef>
              <c:f>'Ethnicity(PivotTable)'!$B$4:$B$8</c:f>
              <c:numCache>
                <c:formatCode>General</c:formatCode>
                <c:ptCount val="4"/>
                <c:pt idx="0">
                  <c:v>19.760000000000002</c:v>
                </c:pt>
                <c:pt idx="1">
                  <c:v>20.32</c:v>
                </c:pt>
                <c:pt idx="2">
                  <c:v>19.79</c:v>
                </c:pt>
                <c:pt idx="3">
                  <c:v>20.28</c:v>
                </c:pt>
              </c:numCache>
            </c:numRef>
          </c:val>
          <c:extLst>
            <c:ext xmlns:c16="http://schemas.microsoft.com/office/drawing/2014/chart" uri="{C3380CC4-5D6E-409C-BE32-E72D297353CC}">
              <c16:uniqueId val="{00000000-295C-4170-9EE8-4D2B65D69841}"/>
            </c:ext>
          </c:extLst>
        </c:ser>
        <c:dLbls>
          <c:showLegendKey val="0"/>
          <c:showVal val="0"/>
          <c:showCatName val="0"/>
          <c:showSerName val="0"/>
          <c:showPercent val="0"/>
          <c:showBubbleSize val="0"/>
        </c:dLbls>
        <c:gapWidth val="219"/>
        <c:axId val="1946513887"/>
        <c:axId val="1946510527"/>
      </c:barChart>
      <c:lineChart>
        <c:grouping val="standard"/>
        <c:varyColors val="0"/>
        <c:ser>
          <c:idx val="1"/>
          <c:order val="1"/>
          <c:tx>
            <c:strRef>
              <c:f>'Ethnicity(PivotTable)'!$C$3</c:f>
              <c:strCache>
                <c:ptCount val="1"/>
                <c:pt idx="0">
                  <c:v>Patient Count</c:v>
                </c:pt>
              </c:strCache>
            </c:strRef>
          </c:tx>
          <c:spPr>
            <a:ln w="28575" cap="rnd">
              <a:solidFill>
                <a:schemeClr val="accent5"/>
              </a:solidFill>
              <a:round/>
            </a:ln>
            <a:effectLst/>
          </c:spPr>
          <c:marker>
            <c:symbol val="none"/>
          </c:marker>
          <c:cat>
            <c:strRef>
              <c:f>'Ethnicity(PivotTable)'!$A$4:$A$8</c:f>
              <c:strCache>
                <c:ptCount val="4"/>
                <c:pt idx="0">
                  <c:v>African</c:v>
                </c:pt>
                <c:pt idx="1">
                  <c:v>Asian</c:v>
                </c:pt>
                <c:pt idx="2">
                  <c:v>Caucasian</c:v>
                </c:pt>
                <c:pt idx="3">
                  <c:v>Hispanic</c:v>
                </c:pt>
              </c:strCache>
            </c:strRef>
          </c:cat>
          <c:val>
            <c:numRef>
              <c:f>'Ethnicity(PivotTable)'!$C$4:$C$8</c:f>
              <c:numCache>
                <c:formatCode>General</c:formatCode>
                <c:ptCount val="4"/>
                <c:pt idx="0">
                  <c:v>324</c:v>
                </c:pt>
                <c:pt idx="1">
                  <c:v>386</c:v>
                </c:pt>
                <c:pt idx="2">
                  <c:v>398</c:v>
                </c:pt>
                <c:pt idx="3">
                  <c:v>392</c:v>
                </c:pt>
              </c:numCache>
            </c:numRef>
          </c:val>
          <c:smooth val="0"/>
          <c:extLst>
            <c:ext xmlns:c16="http://schemas.microsoft.com/office/drawing/2014/chart" uri="{C3380CC4-5D6E-409C-BE32-E72D297353CC}">
              <c16:uniqueId val="{00000001-295C-4170-9EE8-4D2B65D69841}"/>
            </c:ext>
          </c:extLst>
        </c:ser>
        <c:dLbls>
          <c:showLegendKey val="0"/>
          <c:showVal val="0"/>
          <c:showCatName val="0"/>
          <c:showSerName val="0"/>
          <c:showPercent val="0"/>
          <c:showBubbleSize val="0"/>
        </c:dLbls>
        <c:marker val="1"/>
        <c:smooth val="0"/>
        <c:axId val="1363039808"/>
        <c:axId val="1363037408"/>
      </c:lineChart>
      <c:catAx>
        <c:axId val="1946513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600" b="1">
                    <a:solidFill>
                      <a:schemeClr val="tx1"/>
                    </a:solidFill>
                  </a:rPr>
                  <a:t>Ethnicity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10527"/>
        <c:crosses val="autoZero"/>
        <c:auto val="1"/>
        <c:lblAlgn val="ctr"/>
        <c:lblOffset val="100"/>
        <c:noMultiLvlLbl val="0"/>
      </c:catAx>
      <c:valAx>
        <c:axId val="1946510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600" b="1">
                    <a:solidFill>
                      <a:schemeClr val="tx1"/>
                    </a:solidFill>
                  </a:rPr>
                  <a:t>Average</a:t>
                </a:r>
                <a:r>
                  <a:rPr lang="en-AU" sz="1600" b="1" baseline="0">
                    <a:solidFill>
                      <a:schemeClr val="tx1"/>
                    </a:solidFill>
                  </a:rPr>
                  <a:t> Obsession Score (Green)</a:t>
                </a:r>
                <a:endParaRPr lang="en-AU" sz="1600"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13887"/>
        <c:crosses val="autoZero"/>
        <c:crossBetween val="between"/>
      </c:valAx>
      <c:valAx>
        <c:axId val="136303740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600" b="1">
                    <a:solidFill>
                      <a:schemeClr val="tx1"/>
                    </a:solidFill>
                  </a:rPr>
                  <a:t>Patient</a:t>
                </a:r>
                <a:r>
                  <a:rPr lang="en-AU" sz="1600" b="1" baseline="0">
                    <a:solidFill>
                      <a:schemeClr val="tx1"/>
                    </a:solidFill>
                  </a:rPr>
                  <a:t> Count (Purple)</a:t>
                </a:r>
                <a:endParaRPr lang="en-AU" sz="1600"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039808"/>
        <c:crosses val="max"/>
        <c:crossBetween val="between"/>
      </c:valAx>
      <c:catAx>
        <c:axId val="1363039808"/>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03740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OCD Patient Demographics.xlsx]ObsessionType(PivotTable)!PivotTable8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2000" b="1">
                <a:solidFill>
                  <a:schemeClr val="tx1"/>
                </a:solidFill>
              </a:rPr>
              <a:t>Most Common Obession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'ObsessionType(PivotTable)'!$B$3</c:f>
              <c:strCache>
                <c:ptCount val="1"/>
                <c:pt idx="0">
                  <c:v>Patient Count</c:v>
                </c:pt>
              </c:strCache>
            </c:strRef>
          </c:tx>
          <c:spPr>
            <a:solidFill>
              <a:schemeClr val="accent6"/>
            </a:solidFill>
            <a:ln>
              <a:noFill/>
            </a:ln>
            <a:effectLst/>
          </c:spPr>
          <c:invertIfNegative val="0"/>
          <c:cat>
            <c:strRef>
              <c:f>'ObsessionType(PivotTable)'!$A$4:$A$9</c:f>
              <c:strCache>
                <c:ptCount val="5"/>
                <c:pt idx="0">
                  <c:v>Contamination</c:v>
                </c:pt>
                <c:pt idx="1">
                  <c:v>Harm-related</c:v>
                </c:pt>
                <c:pt idx="2">
                  <c:v>Hoarding</c:v>
                </c:pt>
                <c:pt idx="3">
                  <c:v>Religious</c:v>
                </c:pt>
                <c:pt idx="4">
                  <c:v>Symmetry</c:v>
                </c:pt>
              </c:strCache>
            </c:strRef>
          </c:cat>
          <c:val>
            <c:numRef>
              <c:f>'ObsessionType(PivotTable)'!$B$4:$B$9</c:f>
              <c:numCache>
                <c:formatCode>General</c:formatCode>
                <c:ptCount val="5"/>
                <c:pt idx="0">
                  <c:v>306</c:v>
                </c:pt>
                <c:pt idx="1">
                  <c:v>333</c:v>
                </c:pt>
                <c:pt idx="2">
                  <c:v>278</c:v>
                </c:pt>
                <c:pt idx="3">
                  <c:v>303</c:v>
                </c:pt>
                <c:pt idx="4">
                  <c:v>280</c:v>
                </c:pt>
              </c:numCache>
            </c:numRef>
          </c:val>
          <c:extLst>
            <c:ext xmlns:c16="http://schemas.microsoft.com/office/drawing/2014/chart" uri="{C3380CC4-5D6E-409C-BE32-E72D297353CC}">
              <c16:uniqueId val="{00000000-2B18-4CC8-9D11-25EC12B8A710}"/>
            </c:ext>
          </c:extLst>
        </c:ser>
        <c:dLbls>
          <c:showLegendKey val="0"/>
          <c:showVal val="0"/>
          <c:showCatName val="0"/>
          <c:showSerName val="0"/>
          <c:showPercent val="0"/>
          <c:showBubbleSize val="0"/>
        </c:dLbls>
        <c:gapWidth val="219"/>
        <c:overlap val="-27"/>
        <c:axId val="1948159407"/>
        <c:axId val="1948161327"/>
      </c:barChart>
      <c:lineChart>
        <c:grouping val="standard"/>
        <c:varyColors val="0"/>
        <c:ser>
          <c:idx val="1"/>
          <c:order val="1"/>
          <c:tx>
            <c:strRef>
              <c:f>'ObsessionType(PivotTable)'!$C$3</c:f>
              <c:strCache>
                <c:ptCount val="1"/>
                <c:pt idx="0">
                  <c:v>Obsession Score</c:v>
                </c:pt>
              </c:strCache>
            </c:strRef>
          </c:tx>
          <c:spPr>
            <a:ln w="28575" cap="rnd">
              <a:solidFill>
                <a:schemeClr val="accent5"/>
              </a:solidFill>
              <a:round/>
            </a:ln>
            <a:effectLst/>
          </c:spPr>
          <c:marker>
            <c:symbol val="none"/>
          </c:marker>
          <c:cat>
            <c:strRef>
              <c:f>'ObsessionType(PivotTable)'!$A$4:$A$9</c:f>
              <c:strCache>
                <c:ptCount val="5"/>
                <c:pt idx="0">
                  <c:v>Contamination</c:v>
                </c:pt>
                <c:pt idx="1">
                  <c:v>Harm-related</c:v>
                </c:pt>
                <c:pt idx="2">
                  <c:v>Hoarding</c:v>
                </c:pt>
                <c:pt idx="3">
                  <c:v>Religious</c:v>
                </c:pt>
                <c:pt idx="4">
                  <c:v>Symmetry</c:v>
                </c:pt>
              </c:strCache>
            </c:strRef>
          </c:cat>
          <c:val>
            <c:numRef>
              <c:f>'ObsessionType(PivotTable)'!$C$4:$C$9</c:f>
              <c:numCache>
                <c:formatCode>General</c:formatCode>
                <c:ptCount val="5"/>
                <c:pt idx="0">
                  <c:v>19.670000000000002</c:v>
                </c:pt>
                <c:pt idx="1">
                  <c:v>20.65</c:v>
                </c:pt>
                <c:pt idx="2">
                  <c:v>21.01</c:v>
                </c:pt>
                <c:pt idx="3">
                  <c:v>19.23</c:v>
                </c:pt>
                <c:pt idx="4">
                  <c:v>19.670000000000002</c:v>
                </c:pt>
              </c:numCache>
            </c:numRef>
          </c:val>
          <c:smooth val="0"/>
          <c:extLst>
            <c:ext xmlns:c16="http://schemas.microsoft.com/office/drawing/2014/chart" uri="{C3380CC4-5D6E-409C-BE32-E72D297353CC}">
              <c16:uniqueId val="{00000001-2B18-4CC8-9D11-25EC12B8A710}"/>
            </c:ext>
          </c:extLst>
        </c:ser>
        <c:dLbls>
          <c:showLegendKey val="0"/>
          <c:showVal val="0"/>
          <c:showCatName val="0"/>
          <c:showSerName val="0"/>
          <c:showPercent val="0"/>
          <c:showBubbleSize val="0"/>
        </c:dLbls>
        <c:marker val="1"/>
        <c:smooth val="0"/>
        <c:axId val="1734862959"/>
        <c:axId val="1734866319"/>
      </c:lineChart>
      <c:catAx>
        <c:axId val="1948159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600" b="1">
                    <a:solidFill>
                      <a:schemeClr val="tx1"/>
                    </a:solidFill>
                  </a:rPr>
                  <a:t>Obsession</a:t>
                </a:r>
                <a:r>
                  <a:rPr lang="en-AU" sz="1600" b="1" baseline="0">
                    <a:solidFill>
                      <a:schemeClr val="tx1"/>
                    </a:solidFill>
                  </a:rPr>
                  <a:t> Type</a:t>
                </a:r>
                <a:endParaRPr lang="en-AU" sz="1600"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161327"/>
        <c:crosses val="autoZero"/>
        <c:auto val="1"/>
        <c:lblAlgn val="ctr"/>
        <c:lblOffset val="100"/>
        <c:noMultiLvlLbl val="0"/>
      </c:catAx>
      <c:valAx>
        <c:axId val="1948161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600" b="1" i="0" u="none" strike="noStrike" kern="1200" baseline="0">
                    <a:solidFill>
                      <a:schemeClr val="tx1"/>
                    </a:solidFill>
                  </a:rPr>
                  <a:t>Patient Count (Green)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159407"/>
        <c:crosses val="autoZero"/>
        <c:crossBetween val="between"/>
      </c:valAx>
      <c:valAx>
        <c:axId val="173486631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600" b="1">
                    <a:solidFill>
                      <a:schemeClr val="tx1"/>
                    </a:solidFill>
                  </a:rPr>
                  <a:t>Average Obsession</a:t>
                </a:r>
                <a:r>
                  <a:rPr lang="en-AU" sz="1600" b="1" baseline="0">
                    <a:solidFill>
                      <a:schemeClr val="tx1"/>
                    </a:solidFill>
                  </a:rPr>
                  <a:t> Score (Purple)</a:t>
                </a:r>
                <a:endParaRPr lang="en-AU" sz="1600"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862959"/>
        <c:crosses val="max"/>
        <c:crossBetween val="between"/>
      </c:valAx>
      <c:catAx>
        <c:axId val="1734862959"/>
        <c:scaling>
          <c:orientation val="minMax"/>
        </c:scaling>
        <c:delete val="1"/>
        <c:axPos val="b"/>
        <c:numFmt formatCode="General" sourceLinked="1"/>
        <c:majorTickMark val="out"/>
        <c:minorTickMark val="none"/>
        <c:tickLblPos val="nextTo"/>
        <c:crossAx val="17348663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 OCD Patient Demographics.xlsx]Gender(PivotTable)!PivotTable10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Patient Count By Gender</a:t>
            </a:r>
          </a:p>
        </c:rich>
      </c:tx>
      <c:layout>
        <c:manualLayout>
          <c:xMode val="edge"/>
          <c:yMode val="edge"/>
          <c:x val="0.29177976501017694"/>
          <c:y val="3.69122022439906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161D05-44AE-4EC1-8C32-418E8F64431F}"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a:p>
                <a:pPr>
                  <a:defRPr sz="900" b="0" i="0" u="none" strike="noStrike" kern="1200" baseline="0">
                    <a:solidFill>
                      <a:schemeClr val="tx1">
                        <a:lumMod val="75000"/>
                        <a:lumOff val="25000"/>
                      </a:schemeClr>
                    </a:solidFill>
                    <a:latin typeface="+mn-lt"/>
                    <a:ea typeface="+mn-ea"/>
                    <a:cs typeface="+mn-cs"/>
                  </a:defRPr>
                </a:pPr>
                <a:r>
                  <a:rPr lang="en-US"/>
                  <a:t>(50.2%)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6">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7162EF-0A7E-4783-8D47-F9075254948B}"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a:p>
                <a:pPr>
                  <a:defRPr sz="900" b="0" i="0" u="none" strike="noStrike" kern="1200" baseline="0">
                    <a:solidFill>
                      <a:schemeClr val="tx1">
                        <a:lumMod val="75000"/>
                        <a:lumOff val="25000"/>
                      </a:schemeClr>
                    </a:solidFill>
                    <a:latin typeface="+mn-lt"/>
                    <a:ea typeface="+mn-ea"/>
                    <a:cs typeface="+mn-cs"/>
                  </a:defRPr>
                </a:pPr>
                <a:r>
                  <a:rPr lang="en-US"/>
                  <a:t>(49.8%)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7162EF-0A7E-4783-8D47-F9075254948B}"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a:p>
                <a:pPr>
                  <a:defRPr sz="900" b="0" i="0" u="none" strike="noStrike" kern="1200" baseline="0">
                    <a:solidFill>
                      <a:schemeClr val="tx1">
                        <a:lumMod val="75000"/>
                        <a:lumOff val="25000"/>
                      </a:schemeClr>
                    </a:solidFill>
                    <a:latin typeface="+mn-lt"/>
                    <a:ea typeface="+mn-ea"/>
                    <a:cs typeface="+mn-cs"/>
                  </a:defRPr>
                </a:pPr>
                <a:r>
                  <a:rPr lang="en-US"/>
                  <a:t>(49.8%)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161D05-44AE-4EC1-8C32-418E8F64431F}"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a:p>
                <a:pPr>
                  <a:defRPr sz="900" b="0" i="0" u="none" strike="noStrike" kern="1200" baseline="0">
                    <a:solidFill>
                      <a:schemeClr val="tx1">
                        <a:lumMod val="75000"/>
                        <a:lumOff val="25000"/>
                      </a:schemeClr>
                    </a:solidFill>
                    <a:latin typeface="+mn-lt"/>
                    <a:ea typeface="+mn-ea"/>
                    <a:cs typeface="+mn-cs"/>
                  </a:defRPr>
                </a:pPr>
                <a:r>
                  <a:rPr lang="en-US"/>
                  <a:t>(50.2%)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7162EF-0A7E-4783-8D47-F9075254948B}" type="VALUE">
                  <a:rPr lang="en-US" sz="1200" b="1">
                    <a:solidFill>
                      <a:schemeClr val="tx1"/>
                    </a:solidFill>
                  </a:rPr>
                  <a:pPr>
                    <a:defRPr/>
                  </a:pPr>
                  <a:t>[VALUE]</a:t>
                </a:fld>
                <a:endParaRPr lang="en-US" sz="1200" b="1">
                  <a:solidFill>
                    <a:schemeClr val="tx1"/>
                  </a:solidFill>
                </a:endParaRPr>
              </a:p>
              <a:p>
                <a:pPr>
                  <a:defRPr/>
                </a:pPr>
                <a:r>
                  <a:rPr lang="en-US" sz="1200" b="1">
                    <a:solidFill>
                      <a:schemeClr val="tx1"/>
                    </a:solidFill>
                  </a:rPr>
                  <a:t>(49.8%)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161D05-44AE-4EC1-8C32-418E8F64431F}" type="VALUE">
                  <a:rPr lang="en-US" sz="1200" b="1">
                    <a:solidFill>
                      <a:schemeClr val="tx1"/>
                    </a:solidFill>
                  </a:rPr>
                  <a:pPr>
                    <a:defRPr/>
                  </a:pPr>
                  <a:t>[VALUE]</a:t>
                </a:fld>
                <a:endParaRPr lang="en-US" sz="1200" b="1">
                  <a:solidFill>
                    <a:schemeClr val="tx1"/>
                  </a:solidFill>
                </a:endParaRPr>
              </a:p>
              <a:p>
                <a:pPr>
                  <a:defRPr/>
                </a:pPr>
                <a:r>
                  <a:rPr lang="en-US" sz="1200" b="1">
                    <a:solidFill>
                      <a:schemeClr val="tx1"/>
                    </a:solidFill>
                  </a:rPr>
                  <a:t>(50.2%)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s>
    <c:plotArea>
      <c:layout/>
      <c:pieChart>
        <c:varyColors val="1"/>
        <c:ser>
          <c:idx val="0"/>
          <c:order val="0"/>
          <c:tx>
            <c:strRef>
              <c:f>'Gender(PivotTable)'!$B$3</c:f>
              <c:strCache>
                <c:ptCount val="1"/>
                <c:pt idx="0">
                  <c:v>Sum of patient_count</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20D0-4B5E-BE4C-1879A504C6BD}"/>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20D0-4B5E-BE4C-1879A504C6BD}"/>
              </c:ext>
            </c:extLst>
          </c:dPt>
          <c:dLbls>
            <c:dLbl>
              <c:idx val="0"/>
              <c:tx>
                <c:rich>
                  <a:bodyPr/>
                  <a:lstStyle/>
                  <a:p>
                    <a:fld id="{C57162EF-0A7E-4783-8D47-F9075254948B}" type="VALUE">
                      <a:rPr lang="en-US" sz="1200" b="1">
                        <a:solidFill>
                          <a:schemeClr val="tx1"/>
                        </a:solidFill>
                      </a:rPr>
                      <a:pPr/>
                      <a:t>[VALUE]</a:t>
                    </a:fld>
                    <a:endParaRPr lang="en-US" sz="1200" b="1">
                      <a:solidFill>
                        <a:schemeClr val="tx1"/>
                      </a:solidFill>
                    </a:endParaRPr>
                  </a:p>
                  <a:p>
                    <a:r>
                      <a:rPr lang="en-US" sz="1200" b="1">
                        <a:solidFill>
                          <a:schemeClr val="tx1"/>
                        </a:solidFill>
                      </a:rPr>
                      <a:t>(49.8%)</a:t>
                    </a:r>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0D0-4B5E-BE4C-1879A504C6BD}"/>
                </c:ext>
              </c:extLst>
            </c:dLbl>
            <c:dLbl>
              <c:idx val="1"/>
              <c:tx>
                <c:rich>
                  <a:bodyPr/>
                  <a:lstStyle/>
                  <a:p>
                    <a:fld id="{B4161D05-44AE-4EC1-8C32-418E8F64431F}" type="VALUE">
                      <a:rPr lang="en-US" sz="1200" b="1">
                        <a:solidFill>
                          <a:schemeClr val="tx1"/>
                        </a:solidFill>
                      </a:rPr>
                      <a:pPr/>
                      <a:t>[VALUE]</a:t>
                    </a:fld>
                    <a:endParaRPr lang="en-US" sz="1200" b="1">
                      <a:solidFill>
                        <a:schemeClr val="tx1"/>
                      </a:solidFill>
                    </a:endParaRPr>
                  </a:p>
                  <a:p>
                    <a:r>
                      <a:rPr lang="en-US" sz="1200" b="1">
                        <a:solidFill>
                          <a:schemeClr val="tx1"/>
                        </a:solidFill>
                      </a:rPr>
                      <a:t>(50.2%)</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0D0-4B5E-BE4C-1879A504C6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'Gender(PivotTable)'!$A$4:$A$6</c:f>
              <c:strCache>
                <c:ptCount val="2"/>
                <c:pt idx="0">
                  <c:v>Female</c:v>
                </c:pt>
                <c:pt idx="1">
                  <c:v>Male</c:v>
                </c:pt>
              </c:strCache>
            </c:strRef>
          </c:cat>
          <c:val>
            <c:numRef>
              <c:f>'Gender(PivotTable)'!$B$4:$B$6</c:f>
              <c:numCache>
                <c:formatCode>General</c:formatCode>
                <c:ptCount val="2"/>
                <c:pt idx="0">
                  <c:v>747</c:v>
                </c:pt>
                <c:pt idx="1">
                  <c:v>753</c:v>
                </c:pt>
              </c:numCache>
            </c:numRef>
          </c:val>
          <c:extLst>
            <c:ext xmlns:c16="http://schemas.microsoft.com/office/drawing/2014/chart" uri="{C3380CC4-5D6E-409C-BE32-E72D297353CC}">
              <c16:uniqueId val="{00000004-20D0-4B5E-BE4C-1879A504C6BD}"/>
            </c:ext>
          </c:extLst>
        </c:ser>
        <c:ser>
          <c:idx val="1"/>
          <c:order val="1"/>
          <c:tx>
            <c:strRef>
              <c:f>'Gender(PivotTable)'!$C$3</c:f>
              <c:strCache>
                <c:ptCount val="1"/>
                <c:pt idx="0">
                  <c:v>Sum of avg_obs_score</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6-20D0-4B5E-BE4C-1879A504C6BD}"/>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8-20D0-4B5E-BE4C-1879A504C6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'Gender(PivotTable)'!$A$4:$A$6</c:f>
              <c:strCache>
                <c:ptCount val="2"/>
                <c:pt idx="0">
                  <c:v>Female</c:v>
                </c:pt>
                <c:pt idx="1">
                  <c:v>Male</c:v>
                </c:pt>
              </c:strCache>
            </c:strRef>
          </c:cat>
          <c:val>
            <c:numRef>
              <c:f>'Gender(PivotTable)'!$C$4:$C$6</c:f>
              <c:numCache>
                <c:formatCode>General</c:formatCode>
                <c:ptCount val="2"/>
                <c:pt idx="0">
                  <c:v>20.195399999999999</c:v>
                </c:pt>
                <c:pt idx="1">
                  <c:v>19.901700000000002</c:v>
                </c:pt>
              </c:numCache>
            </c:numRef>
          </c:val>
          <c:extLst>
            <c:ext xmlns:c16="http://schemas.microsoft.com/office/drawing/2014/chart" uri="{C3380CC4-5D6E-409C-BE32-E72D297353CC}">
              <c16:uniqueId val="{00000009-20D0-4B5E-BE4C-1879A504C6B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518888888888891"/>
          <c:y val="0.45002148148148147"/>
          <c:w val="7.5100416666666669E-2"/>
          <c:h val="9.92194444444444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 OCD Patient Demographics.xlsx]Gender(PivotTable)!PivotTable15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Obsession Score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19.9</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20.2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0"/>
          <c:order val="0"/>
          <c:tx>
            <c:strRef>
              <c:f>'Gender(PivotTable)'!$C$28</c:f>
              <c:strCache>
                <c:ptCount val="1"/>
                <c:pt idx="0">
                  <c:v>Total</c:v>
                </c:pt>
              </c:strCache>
            </c:strRef>
          </c:tx>
          <c:spPr>
            <a:solidFill>
              <a:schemeClr val="accent6"/>
            </a:solidFill>
            <a:ln>
              <a:noFill/>
            </a:ln>
            <a:effectLst/>
          </c:spPr>
          <c:invertIfNegative val="0"/>
          <c:dLbls>
            <c:dLbl>
              <c:idx val="0"/>
              <c:tx>
                <c:rich>
                  <a:bodyPr/>
                  <a:lstStyle/>
                  <a:p>
                    <a:r>
                      <a:rPr lang="en-US"/>
                      <a:t>20.2</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A39-4F98-9141-3E8ECE6EAA7C}"/>
                </c:ext>
              </c:extLst>
            </c:dLbl>
            <c:dLbl>
              <c:idx val="1"/>
              <c:tx>
                <c:rich>
                  <a:bodyPr/>
                  <a:lstStyle/>
                  <a:p>
                    <a:r>
                      <a:rPr lang="en-US"/>
                      <a:t>19.9</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A39-4F98-9141-3E8ECE6EAA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'Gender(PivotTable)'!$B$29:$B$31</c:f>
              <c:strCache>
                <c:ptCount val="2"/>
                <c:pt idx="0">
                  <c:v>Female</c:v>
                </c:pt>
                <c:pt idx="1">
                  <c:v>Male</c:v>
                </c:pt>
              </c:strCache>
            </c:strRef>
          </c:cat>
          <c:val>
            <c:numRef>
              <c:f>'Gender(PivotTable)'!$C$29:$C$31</c:f>
              <c:numCache>
                <c:formatCode>General</c:formatCode>
                <c:ptCount val="2"/>
                <c:pt idx="0">
                  <c:v>20.195399999999999</c:v>
                </c:pt>
                <c:pt idx="1">
                  <c:v>19.901700000000002</c:v>
                </c:pt>
              </c:numCache>
            </c:numRef>
          </c:val>
          <c:extLst>
            <c:ext xmlns:c16="http://schemas.microsoft.com/office/drawing/2014/chart" uri="{C3380CC4-5D6E-409C-BE32-E72D297353CC}">
              <c16:uniqueId val="{00000000-87BB-4354-8C2B-E179C2E28BF8}"/>
            </c:ext>
          </c:extLst>
        </c:ser>
        <c:dLbls>
          <c:dLblPos val="outEnd"/>
          <c:showLegendKey val="0"/>
          <c:showVal val="1"/>
          <c:showCatName val="0"/>
          <c:showSerName val="0"/>
          <c:showPercent val="0"/>
          <c:showBubbleSize val="0"/>
        </c:dLbls>
        <c:gapWidth val="219"/>
        <c:overlap val="-27"/>
        <c:axId val="1368110640"/>
        <c:axId val="1368109200"/>
      </c:barChart>
      <c:catAx>
        <c:axId val="1368110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600" b="1">
                    <a:solidFill>
                      <a:schemeClr val="tx1"/>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09200"/>
        <c:crosses val="autoZero"/>
        <c:auto val="1"/>
        <c:lblAlgn val="ctr"/>
        <c:lblOffset val="100"/>
        <c:noMultiLvlLbl val="0"/>
      </c:catAx>
      <c:valAx>
        <c:axId val="1368109200"/>
        <c:scaling>
          <c:orientation val="minMax"/>
          <c:max val="20.2"/>
          <c:min val="19"/>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600" b="1">
                    <a:solidFill>
                      <a:schemeClr val="tx1"/>
                    </a:solidFill>
                  </a:rPr>
                  <a:t>Average Obsession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1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293915</xdr:colOff>
      <xdr:row>1</xdr:row>
      <xdr:rowOff>10886</xdr:rowOff>
    </xdr:from>
    <xdr:to>
      <xdr:col>9</xdr:col>
      <xdr:colOff>293915</xdr:colOff>
      <xdr:row>18</xdr:row>
      <xdr:rowOff>103413</xdr:rowOff>
    </xdr:to>
    <xdr:graphicFrame macro="">
      <xdr:nvGraphicFramePr>
        <xdr:cNvPr id="2" name="Chart 1">
          <a:extLst>
            <a:ext uri="{FF2B5EF4-FFF2-40B4-BE49-F238E27FC236}">
              <a16:creationId xmlns:a16="http://schemas.microsoft.com/office/drawing/2014/main" id="{F7B831E3-42C9-745E-3749-BF60C28FE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217714</xdr:colOff>
      <xdr:row>9</xdr:row>
      <xdr:rowOff>163286</xdr:rowOff>
    </xdr:from>
    <xdr:to>
      <xdr:col>9</xdr:col>
      <xdr:colOff>87085</xdr:colOff>
      <xdr:row>24</xdr:row>
      <xdr:rowOff>34008</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17CC18D9-6E0E-B983-E7DF-93562337BCC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40085" y="1828800"/>
              <a:ext cx="1828800" cy="264657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43543</xdr:colOff>
      <xdr:row>12</xdr:row>
      <xdr:rowOff>87085</xdr:rowOff>
    </xdr:from>
    <xdr:to>
      <xdr:col>9</xdr:col>
      <xdr:colOff>566057</xdr:colOff>
      <xdr:row>26</xdr:row>
      <xdr:rowOff>142864</xdr:rowOff>
    </xdr:to>
    <mc:AlternateContent xmlns:mc="http://schemas.openxmlformats.org/markup-compatibility/2006" xmlns:a14="http://schemas.microsoft.com/office/drawing/2010/main">
      <mc:Choice Requires="a14">
        <xdr:graphicFrame macro="">
          <xdr:nvGraphicFramePr>
            <xdr:cNvPr id="4" name="patient_count">
              <a:extLst>
                <a:ext uri="{FF2B5EF4-FFF2-40B4-BE49-F238E27FC236}">
                  <a16:creationId xmlns:a16="http://schemas.microsoft.com/office/drawing/2014/main" id="{E7BB1556-D41E-1D4B-F7E8-7E3585BA5974}"/>
                </a:ext>
              </a:extLst>
            </xdr:cNvPr>
            <xdr:cNvGraphicFramePr/>
          </xdr:nvGraphicFramePr>
          <xdr:xfrm>
            <a:off x="0" y="0"/>
            <a:ext cx="0" cy="0"/>
          </xdr:xfrm>
          <a:graphic>
            <a:graphicData uri="http://schemas.microsoft.com/office/drawing/2010/slicer">
              <sle:slicer xmlns:sle="http://schemas.microsoft.com/office/drawing/2010/slicer" name="patient_count"/>
            </a:graphicData>
          </a:graphic>
        </xdr:graphicFrame>
      </mc:Choice>
      <mc:Fallback xmlns="">
        <xdr:sp macro="" textlink="">
          <xdr:nvSpPr>
            <xdr:cNvPr id="0" name=""/>
            <xdr:cNvSpPr>
              <a:spLocks noTextEdit="1"/>
            </xdr:cNvSpPr>
          </xdr:nvSpPr>
          <xdr:spPr>
            <a:xfrm>
              <a:off x="5519057" y="2307771"/>
              <a:ext cx="1828800" cy="264657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359229</xdr:colOff>
      <xdr:row>10</xdr:row>
      <xdr:rowOff>70757</xdr:rowOff>
    </xdr:from>
    <xdr:to>
      <xdr:col>12</xdr:col>
      <xdr:colOff>288471</xdr:colOff>
      <xdr:row>32</xdr:row>
      <xdr:rowOff>10885</xdr:rowOff>
    </xdr:to>
    <xdr:graphicFrame macro="">
      <xdr:nvGraphicFramePr>
        <xdr:cNvPr id="2" name="Chart 1">
          <a:extLst>
            <a:ext uri="{FF2B5EF4-FFF2-40B4-BE49-F238E27FC236}">
              <a16:creationId xmlns:a16="http://schemas.microsoft.com/office/drawing/2014/main" id="{4E969917-53DB-9971-C264-FE3DAB837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10892</xdr:colOff>
      <xdr:row>3</xdr:row>
      <xdr:rowOff>119742</xdr:rowOff>
    </xdr:from>
    <xdr:to>
      <xdr:col>13</xdr:col>
      <xdr:colOff>261257</xdr:colOff>
      <xdr:row>25</xdr:row>
      <xdr:rowOff>87085</xdr:rowOff>
    </xdr:to>
    <xdr:graphicFrame macro="">
      <xdr:nvGraphicFramePr>
        <xdr:cNvPr id="2" name="Chart 1">
          <a:extLst>
            <a:ext uri="{FF2B5EF4-FFF2-40B4-BE49-F238E27FC236}">
              <a16:creationId xmlns:a16="http://schemas.microsoft.com/office/drawing/2014/main" id="{7FEA8991-CBBB-C5B8-BF48-73C770838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261257</xdr:colOff>
      <xdr:row>10</xdr:row>
      <xdr:rowOff>59871</xdr:rowOff>
    </xdr:from>
    <xdr:to>
      <xdr:col>7</xdr:col>
      <xdr:colOff>288470</xdr:colOff>
      <xdr:row>30</xdr:row>
      <xdr:rowOff>10886</xdr:rowOff>
    </xdr:to>
    <xdr:graphicFrame macro="">
      <xdr:nvGraphicFramePr>
        <xdr:cNvPr id="2" name="Chart 1">
          <a:extLst>
            <a:ext uri="{FF2B5EF4-FFF2-40B4-BE49-F238E27FC236}">
              <a16:creationId xmlns:a16="http://schemas.microsoft.com/office/drawing/2014/main" id="{D9359F3B-3DC2-50BE-9FCD-30D602479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810986</xdr:colOff>
      <xdr:row>7</xdr:row>
      <xdr:rowOff>97971</xdr:rowOff>
    </xdr:from>
    <xdr:to>
      <xdr:col>7</xdr:col>
      <xdr:colOff>81643</xdr:colOff>
      <xdr:row>22</xdr:row>
      <xdr:rowOff>65314</xdr:rowOff>
    </xdr:to>
    <xdr:graphicFrame macro="">
      <xdr:nvGraphicFramePr>
        <xdr:cNvPr id="2" name="Chart 1">
          <a:extLst>
            <a:ext uri="{FF2B5EF4-FFF2-40B4-BE49-F238E27FC236}">
              <a16:creationId xmlns:a16="http://schemas.microsoft.com/office/drawing/2014/main" id="{93E11492-AF8D-4072-2ACC-F0F7877CF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835477</xdr:colOff>
      <xdr:row>26</xdr:row>
      <xdr:rowOff>152399</xdr:rowOff>
    </xdr:from>
    <xdr:to>
      <xdr:col>3</xdr:col>
      <xdr:colOff>1390648</xdr:colOff>
      <xdr:row>41</xdr:row>
      <xdr:rowOff>119742</xdr:rowOff>
    </xdr:to>
    <xdr:graphicFrame macro="">
      <xdr:nvGraphicFramePr>
        <xdr:cNvPr id="4" name="Chart 3">
          <a:extLst>
            <a:ext uri="{FF2B5EF4-FFF2-40B4-BE49-F238E27FC236}">
              <a16:creationId xmlns:a16="http://schemas.microsoft.com/office/drawing/2014/main" id="{E152C8BA-7AFC-6E1F-BB79-C0DF83A83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24</xdr:col>
      <xdr:colOff>233668</xdr:colOff>
      <xdr:row>41</xdr:row>
      <xdr:rowOff>172156</xdr:rowOff>
    </xdr:from>
    <xdr:to>
      <xdr:col>35</xdr:col>
      <xdr:colOff>282358</xdr:colOff>
      <xdr:row>67</xdr:row>
      <xdr:rowOff>135014</xdr:rowOff>
    </xdr:to>
    <xdr:graphicFrame macro="">
      <xdr:nvGraphicFramePr>
        <xdr:cNvPr id="5" name="Chart 4">
          <a:extLst>
            <a:ext uri="{FF2B5EF4-FFF2-40B4-BE49-F238E27FC236}">
              <a16:creationId xmlns:a16="http://schemas.microsoft.com/office/drawing/2014/main" id="{B1BF7893-E2BF-4204-9410-FC059FD06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127529</xdr:colOff>
      <xdr:row>14</xdr:row>
      <xdr:rowOff>117366</xdr:rowOff>
    </xdr:from>
    <xdr:to>
      <xdr:col>12</xdr:col>
      <xdr:colOff>161100</xdr:colOff>
      <xdr:row>40</xdr:row>
      <xdr:rowOff>80223</xdr:rowOff>
    </xdr:to>
    <xdr:graphicFrame macro="">
      <xdr:nvGraphicFramePr>
        <xdr:cNvPr id="2" name="Chart 1">
          <a:extLst>
            <a:ext uri="{FF2B5EF4-FFF2-40B4-BE49-F238E27FC236}">
              <a16:creationId xmlns:a16="http://schemas.microsoft.com/office/drawing/2014/main" id="{60F1C2F4-64C2-4289-A387-96BFF4937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233668</xdr:colOff>
      <xdr:row>14</xdr:row>
      <xdr:rowOff>117365</xdr:rowOff>
    </xdr:from>
    <xdr:to>
      <xdr:col>35</xdr:col>
      <xdr:colOff>282358</xdr:colOff>
      <xdr:row>40</xdr:row>
      <xdr:rowOff>80223</xdr:rowOff>
    </xdr:to>
    <xdr:graphicFrame macro="">
      <xdr:nvGraphicFramePr>
        <xdr:cNvPr id="3" name="Chart 2">
          <a:extLst>
            <a:ext uri="{FF2B5EF4-FFF2-40B4-BE49-F238E27FC236}">
              <a16:creationId xmlns:a16="http://schemas.microsoft.com/office/drawing/2014/main" id="{D4FDC1B6-D3ED-476C-B898-D358DA477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127529</xdr:colOff>
      <xdr:row>41</xdr:row>
      <xdr:rowOff>82225</xdr:rowOff>
    </xdr:from>
    <xdr:to>
      <xdr:col>12</xdr:col>
      <xdr:colOff>161100</xdr:colOff>
      <xdr:row>67</xdr:row>
      <xdr:rowOff>135014</xdr:rowOff>
    </xdr:to>
    <xdr:graphicFrame macro="">
      <xdr:nvGraphicFramePr>
        <xdr:cNvPr id="4" name="Chart 3">
          <a:extLst>
            <a:ext uri="{FF2B5EF4-FFF2-40B4-BE49-F238E27FC236}">
              <a16:creationId xmlns:a16="http://schemas.microsoft.com/office/drawing/2014/main" id="{6A1E1E62-3397-47EF-A024-C7AAA1E77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1877</xdr:colOff>
      <xdr:row>15</xdr:row>
      <xdr:rowOff>145356</xdr:rowOff>
    </xdr:from>
    <xdr:to>
      <xdr:col>24</xdr:col>
      <xdr:colOff>1124</xdr:colOff>
      <xdr:row>39</xdr:row>
      <xdr:rowOff>52232</xdr:rowOff>
    </xdr:to>
    <xdr:graphicFrame macro="">
      <xdr:nvGraphicFramePr>
        <xdr:cNvPr id="6" name="Chart 5">
          <a:extLst>
            <a:ext uri="{FF2B5EF4-FFF2-40B4-BE49-F238E27FC236}">
              <a16:creationId xmlns:a16="http://schemas.microsoft.com/office/drawing/2014/main" id="{7BABDE5A-B885-49A2-9979-90B88E9A7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574360</xdr:colOff>
      <xdr:row>42</xdr:row>
      <xdr:rowOff>125097</xdr:rowOff>
    </xdr:from>
    <xdr:to>
      <xdr:col>23</xdr:col>
      <xdr:colOff>589787</xdr:colOff>
      <xdr:row>67</xdr:row>
      <xdr:rowOff>135014</xdr:rowOff>
    </xdr:to>
    <xdr:graphicFrame macro="">
      <xdr:nvGraphicFramePr>
        <xdr:cNvPr id="7" name="Chart 6">
          <a:extLst>
            <a:ext uri="{FF2B5EF4-FFF2-40B4-BE49-F238E27FC236}">
              <a16:creationId xmlns:a16="http://schemas.microsoft.com/office/drawing/2014/main" id="{2F50A975-B8B3-4615-A8A7-330F795C3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426374</xdr:colOff>
      <xdr:row>0</xdr:row>
      <xdr:rowOff>180903</xdr:rowOff>
    </xdr:from>
    <xdr:to>
      <xdr:col>35</xdr:col>
      <xdr:colOff>304101</xdr:colOff>
      <xdr:row>14</xdr:row>
      <xdr:rowOff>1</xdr:rowOff>
    </xdr:to>
    <xdr:sp macro="" textlink="">
      <xdr:nvSpPr>
        <xdr:cNvPr id="22" name="Rectangle: Rounded Corners 21">
          <a:extLst>
            <a:ext uri="{FF2B5EF4-FFF2-40B4-BE49-F238E27FC236}">
              <a16:creationId xmlns:a16="http://schemas.microsoft.com/office/drawing/2014/main" id="{0082C1A6-BD05-3C56-9B5D-1DA9532888E3}"/>
            </a:ext>
          </a:extLst>
        </xdr:cNvPr>
        <xdr:cNvSpPr/>
      </xdr:nvSpPr>
      <xdr:spPr>
        <a:xfrm>
          <a:off x="426374" y="180903"/>
          <a:ext cx="22680000" cy="2359098"/>
        </a:xfrm>
        <a:prstGeom prst="roundRect">
          <a:avLst/>
        </a:prstGeom>
        <a:solidFill>
          <a:srgbClr val="92C089"/>
        </a:solidFill>
        <a:ln>
          <a:solidFill>
            <a:srgbClr val="44932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4</xdr:col>
      <xdr:colOff>148441</xdr:colOff>
      <xdr:row>5</xdr:row>
      <xdr:rowOff>8249</xdr:rowOff>
    </xdr:from>
    <xdr:to>
      <xdr:col>31</xdr:col>
      <xdr:colOff>643246</xdr:colOff>
      <xdr:row>11</xdr:row>
      <xdr:rowOff>65975</xdr:rowOff>
    </xdr:to>
    <xdr:sp macro="" textlink="">
      <xdr:nvSpPr>
        <xdr:cNvPr id="23" name="TextBox 22">
          <a:extLst>
            <a:ext uri="{FF2B5EF4-FFF2-40B4-BE49-F238E27FC236}">
              <a16:creationId xmlns:a16="http://schemas.microsoft.com/office/drawing/2014/main" id="{B40A35D0-3E4C-B3FA-6591-4814245201DF}"/>
            </a:ext>
          </a:extLst>
        </xdr:cNvPr>
        <xdr:cNvSpPr txBox="1"/>
      </xdr:nvSpPr>
      <xdr:spPr>
        <a:xfrm>
          <a:off x="2754415" y="915391"/>
          <a:ext cx="18085129" cy="114629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7200">
              <a:latin typeface="Aharoni" panose="020F0502020204030204" pitchFamily="2" charset="-79"/>
              <a:cs typeface="Aharoni" panose="020F0502020204030204" pitchFamily="2" charset="-79"/>
            </a:rPr>
            <a:t>OCD</a:t>
          </a:r>
          <a:r>
            <a:rPr lang="en-AU" sz="7200" baseline="0">
              <a:latin typeface="Aharoni" panose="020F0502020204030204" pitchFamily="2" charset="-79"/>
              <a:cs typeface="Aharoni" panose="020F0502020204030204" pitchFamily="2" charset="-79"/>
            </a:rPr>
            <a:t> Patient Demographics  - Overview</a:t>
          </a:r>
          <a:endParaRPr lang="en-AU" sz="7200">
            <a:latin typeface="Aharoni" panose="020F0502020204030204" pitchFamily="2" charset="-79"/>
            <a:cs typeface="Aharoni" panose="020F0502020204030204"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ya Reyneke" refreshedDate="45990.59759016204" createdVersion="8" refreshedVersion="8" minRefreshableVersion="3" recordCount="10" xr:uid="{4B56B91F-49F5-488C-BBD9-312746878F9C}">
  <cacheSource type="worksheet">
    <worksheetSource name="Table13"/>
  </cacheSource>
  <cacheFields count="2">
    <cacheField name="YEAR" numFmtId="0">
      <sharedItems containsSemiMixedTypes="0" containsString="0" containsNumber="1" containsInteger="1" minValue="2013" maxValue="2022" count="10">
        <n v="2013"/>
        <n v="2014"/>
        <n v="2015"/>
        <n v="2016"/>
        <n v="2017"/>
        <n v="2018"/>
        <n v="2019"/>
        <n v="2020"/>
        <n v="2021"/>
        <n v="2022"/>
      </sharedItems>
    </cacheField>
    <cacheField name="patient_count" numFmtId="0">
      <sharedItems containsSemiMixedTypes="0" containsString="0" containsNumber="1" containsInteger="1" minValue="18" maxValue="204" count="9">
        <n v="18"/>
        <n v="157"/>
        <n v="170"/>
        <n v="163"/>
        <n v="204"/>
        <n v="167"/>
        <n v="169"/>
        <n v="150"/>
        <n v="139"/>
      </sharedItems>
    </cacheField>
  </cacheFields>
  <extLst>
    <ext xmlns:x14="http://schemas.microsoft.com/office/spreadsheetml/2009/9/main" uri="{725AE2AE-9491-48be-B2B4-4EB974FC3084}">
      <x14:pivotCacheDefinition pivotCacheId="673733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ya Reyneke" refreshedDate="45991.37437060185" createdVersion="8" refreshedVersion="8" minRefreshableVersion="3" recordCount="4" xr:uid="{6BE1BAB2-A675-4A08-BE95-C4D497958747}">
  <cacheSource type="worksheet">
    <worksheetSource name="Table15"/>
  </cacheSource>
  <cacheFields count="3">
    <cacheField name="Ethnicity" numFmtId="0">
      <sharedItems count="4">
        <s v="African"/>
        <s v="Asian"/>
        <s v="Hispanic"/>
        <s v="Caucasian"/>
      </sharedItems>
    </cacheField>
    <cacheField name="patient_count" numFmtId="0">
      <sharedItems containsSemiMixedTypes="0" containsString="0" containsNumber="1" containsInteger="1" minValue="324" maxValue="398" count="4">
        <n v="324"/>
        <n v="386"/>
        <n v="392"/>
        <n v="398"/>
      </sharedItems>
    </cacheField>
    <cacheField name="avg_obs_score" numFmtId="0">
      <sharedItems containsSemiMixedTypes="0" containsString="0" containsNumber="1" minValue="19.760000000000002" maxValue="20.32" count="4">
        <n v="19.760000000000002"/>
        <n v="20.32"/>
        <n v="20.28"/>
        <n v="19.79"/>
      </sharedItems>
    </cacheField>
  </cacheFields>
  <extLst>
    <ext xmlns:x14="http://schemas.microsoft.com/office/spreadsheetml/2009/9/main" uri="{725AE2AE-9491-48be-B2B4-4EB974FC3084}">
      <x14:pivotCacheDefinition pivotCacheId="183711571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ya Reyneke" refreshedDate="45991.383886574076" createdVersion="8" refreshedVersion="8" minRefreshableVersion="3" recordCount="5" xr:uid="{EEBFABCD-681C-49B6-8225-871F2E82255A}">
  <cacheSource type="worksheet">
    <worksheetSource name="Table16"/>
  </cacheSource>
  <cacheFields count="3">
    <cacheField name="Obsession Type" numFmtId="0">
      <sharedItems count="5">
        <s v="Hoarding"/>
        <s v="Symmetry"/>
        <s v="Religious"/>
        <s v="Contamination"/>
        <s v="Harm-related"/>
      </sharedItems>
    </cacheField>
    <cacheField name="patient_count" numFmtId="0">
      <sharedItems containsSemiMixedTypes="0" containsString="0" containsNumber="1" containsInteger="1" minValue="278" maxValue="333"/>
    </cacheField>
    <cacheField name="obs_score" numFmtId="0">
      <sharedItems containsSemiMixedTypes="0" containsString="0" containsNumber="1" minValue="19.23" maxValue="21.01"/>
    </cacheField>
  </cacheFields>
  <extLst>
    <ext xmlns:x14="http://schemas.microsoft.com/office/spreadsheetml/2009/9/main" uri="{725AE2AE-9491-48be-B2B4-4EB974FC3084}">
      <x14:pivotCacheDefinition pivotCacheId="143671786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ya Reyneke" refreshedDate="45991.391394560182" createdVersion="8" refreshedVersion="8" minRefreshableVersion="3" recordCount="5" xr:uid="{951BC48C-3F19-46B3-BD8C-8F8490DA39C2}">
  <cacheSource type="worksheet">
    <worksheetSource name="Table17"/>
  </cacheSource>
  <cacheFields count="3">
    <cacheField name="Compulsion Type" numFmtId="0">
      <sharedItems count="5">
        <s v="Ordering"/>
        <s v="Praying"/>
        <s v="Checking"/>
        <s v="Counting"/>
        <s v="Washing"/>
      </sharedItems>
    </cacheField>
    <cacheField name="patient_count" numFmtId="0">
      <sharedItems containsSemiMixedTypes="0" containsString="0" containsNumber="1" containsInteger="1" minValue="285" maxValue="321"/>
    </cacheField>
    <cacheField name="com_score" numFmtId="0">
      <sharedItems containsSemiMixedTypes="0" containsString="0" containsNumber="1" minValue="17.920000000000002" maxValue="20.73"/>
    </cacheField>
  </cacheFields>
  <extLst>
    <ext xmlns:x14="http://schemas.microsoft.com/office/spreadsheetml/2009/9/main" uri="{725AE2AE-9491-48be-B2B4-4EB974FC3084}">
      <x14:pivotCacheDefinition pivotCacheId="1487042089"/>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ya Reyneke" refreshedDate="45991.402918055559" createdVersion="8" refreshedVersion="8" minRefreshableVersion="3" recordCount="2" xr:uid="{B4920099-91EB-4A0F-AB2B-4808505EC034}">
  <cacheSource type="worksheet">
    <worksheetSource name="Gender__2"/>
  </cacheSource>
  <cacheFields count="3">
    <cacheField name="Gender" numFmtId="0">
      <sharedItems count="2">
        <s v="Female"/>
        <s v="Male"/>
      </sharedItems>
    </cacheField>
    <cacheField name="patient_count" numFmtId="0">
      <sharedItems containsSemiMixedTypes="0" containsString="0" containsNumber="1" containsInteger="1" minValue="747" maxValue="753"/>
    </cacheField>
    <cacheField name="avg_obs_score" numFmtId="0">
      <sharedItems containsSemiMixedTypes="0" containsString="0" containsNumber="1" minValue="19.901700000000002" maxValue="20.195399999999999"/>
    </cacheField>
  </cacheFields>
  <extLst>
    <ext xmlns:x14="http://schemas.microsoft.com/office/spreadsheetml/2009/9/main" uri="{725AE2AE-9491-48be-B2B4-4EB974FC3084}">
      <x14:pivotCacheDefinition pivotCacheId="200431986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ya Reyneke" refreshedDate="45991.422893634262" createdVersion="8" refreshedVersion="8" minRefreshableVersion="3" recordCount="2" xr:uid="{574AF56B-3FDE-41D1-8ED4-53F5A511FB20}">
  <cacheSource type="worksheet">
    <worksheetSource ref="A3:C5" sheet="Gender(PivotTable)"/>
  </cacheSource>
  <cacheFields count="3">
    <cacheField name="Row Labels" numFmtId="0">
      <sharedItems count="2">
        <s v="Female"/>
        <s v="Male"/>
      </sharedItems>
    </cacheField>
    <cacheField name="Sum of patient_count" numFmtId="0">
      <sharedItems containsSemiMixedTypes="0" containsString="0" containsNumber="1" containsInteger="1" minValue="747" maxValue="753"/>
    </cacheField>
    <cacheField name="Sum of avg_obs_score" numFmtId="0">
      <sharedItems containsSemiMixedTypes="0" containsString="0" containsNumber="1" minValue="19.901700000000002" maxValue="20.195399999999999"/>
    </cacheField>
  </cacheFields>
  <extLst>
    <ext xmlns:x14="http://schemas.microsoft.com/office/spreadsheetml/2009/9/main" uri="{725AE2AE-9491-48be-B2B4-4EB974FC3084}">
      <x14:pivotCacheDefinition pivotCacheId="81640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1"/>
    <x v="1"/>
  </r>
  <r>
    <x v="2"/>
    <x v="2"/>
  </r>
  <r>
    <x v="3"/>
    <x v="3"/>
  </r>
  <r>
    <x v="4"/>
    <x v="3"/>
  </r>
  <r>
    <x v="5"/>
    <x v="4"/>
  </r>
  <r>
    <x v="6"/>
    <x v="5"/>
  </r>
  <r>
    <x v="7"/>
    <x v="6"/>
  </r>
  <r>
    <x v="8"/>
    <x v="7"/>
  </r>
  <r>
    <x v="9"/>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x v="0"/>
  </r>
  <r>
    <x v="1"/>
    <x v="1"/>
    <x v="1"/>
  </r>
  <r>
    <x v="2"/>
    <x v="2"/>
    <x v="2"/>
  </r>
  <r>
    <x v="3"/>
    <x v="3"/>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78"/>
    <n v="21.01"/>
  </r>
  <r>
    <x v="1"/>
    <n v="280"/>
    <n v="19.670000000000002"/>
  </r>
  <r>
    <x v="2"/>
    <n v="303"/>
    <n v="19.23"/>
  </r>
  <r>
    <x v="3"/>
    <n v="306"/>
    <n v="19.670000000000002"/>
  </r>
  <r>
    <x v="4"/>
    <n v="333"/>
    <n v="20.6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85"/>
    <n v="20.23"/>
  </r>
  <r>
    <x v="1"/>
    <n v="286"/>
    <n v="20.73"/>
  </r>
  <r>
    <x v="2"/>
    <n v="292"/>
    <n v="17.920000000000002"/>
  </r>
  <r>
    <x v="3"/>
    <n v="316"/>
    <n v="19.66"/>
  </r>
  <r>
    <x v="4"/>
    <n v="321"/>
    <n v="19.6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747"/>
    <n v="20.195399999999999"/>
  </r>
  <r>
    <x v="1"/>
    <n v="753"/>
    <n v="19.90170000000000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747"/>
    <n v="20.195399999999999"/>
  </r>
  <r>
    <x v="1"/>
    <n v="753"/>
    <n v="19.9017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027D48-AEA7-4A89-907E-98A69E1A79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2">
    <pivotField axis="axisRow" showAll="0">
      <items count="11">
        <item x="0"/>
        <item x="1"/>
        <item x="2"/>
        <item x="3"/>
        <item x="4"/>
        <item x="5"/>
        <item x="6"/>
        <item x="7"/>
        <item x="8"/>
        <item x="9"/>
        <item t="default"/>
      </items>
    </pivotField>
    <pivotField dataField="1" showAll="0">
      <items count="10">
        <item x="0"/>
        <item x="8"/>
        <item x="7"/>
        <item x="1"/>
        <item x="3"/>
        <item x="5"/>
        <item x="6"/>
        <item x="2"/>
        <item x="4"/>
        <item t="default"/>
      </items>
    </pivotField>
  </pivotFields>
  <rowFields count="1">
    <field x="0"/>
  </rowFields>
  <rowItems count="11">
    <i>
      <x/>
    </i>
    <i>
      <x v="1"/>
    </i>
    <i>
      <x v="2"/>
    </i>
    <i>
      <x v="3"/>
    </i>
    <i>
      <x v="4"/>
    </i>
    <i>
      <x v="5"/>
    </i>
    <i>
      <x v="6"/>
    </i>
    <i>
      <x v="7"/>
    </i>
    <i>
      <x v="8"/>
    </i>
    <i>
      <x v="9"/>
    </i>
    <i t="grand">
      <x/>
    </i>
  </rowItems>
  <colItems count="1">
    <i/>
  </colItems>
  <dataFields count="1">
    <dataField name="Number of Diagnoses" fld="1" baseField="0" baseItem="0"/>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3EF7FA-BDCF-4C6B-9227-F1DD4FB6951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8" firstHeaderRow="0" firstDataRow="1" firstDataCol="1"/>
  <pivotFields count="3">
    <pivotField axis="axisRow" showAll="0">
      <items count="5">
        <item x="0"/>
        <item x="1"/>
        <item x="3"/>
        <item x="2"/>
        <item t="default"/>
      </items>
    </pivotField>
    <pivotField dataField="1" showAll="0">
      <items count="5">
        <item x="0"/>
        <item h="1" x="1"/>
        <item h="1" x="2"/>
        <item h="1" x="3"/>
        <item t="default"/>
      </items>
    </pivotField>
    <pivotField dataField="1" showAll="0">
      <items count="5">
        <item x="0"/>
        <item x="3"/>
        <item x="2"/>
        <item x="1"/>
        <item t="default"/>
      </items>
    </pivotField>
  </pivotFields>
  <rowFields count="1">
    <field x="0"/>
  </rowFields>
  <rowItems count="5">
    <i>
      <x/>
    </i>
    <i>
      <x v="1"/>
    </i>
    <i>
      <x v="2"/>
    </i>
    <i>
      <x v="3"/>
    </i>
    <i t="grand">
      <x/>
    </i>
  </rowItems>
  <colFields count="1">
    <field x="-2"/>
  </colFields>
  <colItems count="2">
    <i>
      <x/>
    </i>
    <i i="1">
      <x v="1"/>
    </i>
  </colItems>
  <dataFields count="2">
    <dataField name="Obsession Score" fld="2" baseField="0" baseItem="0"/>
    <dataField name="Patient Count" fld="1" baseField="0"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DC9791-77A7-43C0-B9FB-8F16507E199D}"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9" firstHeaderRow="0" firstDataRow="1" firstDataCol="1"/>
  <pivotFields count="3">
    <pivotField axis="axisRow" showAll="0">
      <items count="6">
        <item x="3"/>
        <item x="4"/>
        <item x="0"/>
        <item x="2"/>
        <item x="1"/>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Patient Count" fld="1" baseField="0" baseItem="2"/>
    <dataField name="Obsession Score" fld="2" baseField="0" baseItem="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36C113-AD3B-4D19-B0C5-D654D67F1A64}"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0" firstDataRow="1" firstDataCol="1"/>
  <pivotFields count="3">
    <pivotField axis="axisRow" showAll="0">
      <items count="6">
        <item x="2"/>
        <item x="3"/>
        <item x="0"/>
        <item x="1"/>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Patient Count" fld="1" baseField="0" baseItem="0"/>
    <dataField name="Compulsion Score"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D5CD1D-9E6A-45C1-B9C8-5BD8279B4AA3}"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28:C31" firstHeaderRow="1" firstDataRow="1" firstDataCol="1"/>
  <pivotFields count="3">
    <pivotField axis="axisRow" showAll="0">
      <items count="3">
        <item x="0"/>
        <item x="1"/>
        <item t="default"/>
      </items>
    </pivotField>
    <pivotField showAll="0"/>
    <pivotField dataField="1" showAll="0"/>
  </pivotFields>
  <rowFields count="1">
    <field x="0"/>
  </rowFields>
  <rowItems count="3">
    <i>
      <x/>
    </i>
    <i>
      <x v="1"/>
    </i>
    <i t="grand">
      <x/>
    </i>
  </rowItems>
  <colItems count="1">
    <i/>
  </colItems>
  <dataFields count="1">
    <dataField name="Sum of Sum of avg_obs_score" fld="2" baseField="0" baseItem="0"/>
  </dataFields>
  <chartFormats count="5">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9" format="4">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8C1E99-67BA-4AC6-B843-A0C3453D0A65}"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6" firstHeaderRow="0" firstDataRow="1" firstDataCol="1"/>
  <pivotFields count="3">
    <pivotField axis="axisRow" showAll="0">
      <items count="3">
        <item x="0"/>
        <item x="1"/>
        <item t="default"/>
      </items>
    </pivotField>
    <pivotField dataField="1" showAll="0"/>
    <pivotField dataField="1" showAll="0"/>
  </pivotFields>
  <rowFields count="1">
    <field x="0"/>
  </rowFields>
  <rowItems count="3">
    <i>
      <x/>
    </i>
    <i>
      <x v="1"/>
    </i>
    <i t="grand">
      <x/>
    </i>
  </rowItems>
  <colFields count="1">
    <field x="-2"/>
  </colFields>
  <colItems count="2">
    <i>
      <x/>
    </i>
    <i i="1">
      <x v="1"/>
    </i>
  </colItems>
  <dataFields count="2">
    <dataField name="Sum of patient_count" fld="1" baseField="0" baseItem="0"/>
    <dataField name="Sum of avg_obs_score" fld="2"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6" format="7" series="1">
      <pivotArea type="data" outline="0" fieldPosition="0">
        <references count="1">
          <reference field="4294967294" count="1" selected="0">
            <x v="1"/>
          </reference>
        </references>
      </pivotArea>
    </chartFormat>
    <chartFormat chart="6" format="8">
      <pivotArea type="data" outline="0" fieldPosition="0">
        <references count="2">
          <reference field="4294967294" count="1" selected="0">
            <x v="1"/>
          </reference>
          <reference field="0" count="1" selected="0">
            <x v="0"/>
          </reference>
        </references>
      </pivotArea>
    </chartFormat>
    <chartFormat chart="6" format="9">
      <pivotArea type="data" outline="0" fieldPosition="0">
        <references count="2">
          <reference field="4294967294" count="1" selected="0">
            <x v="1"/>
          </reference>
          <reference field="0"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7" format="13" series="1">
      <pivotArea type="data" outline="0" fieldPosition="0">
        <references count="1">
          <reference field="4294967294" count="1" selected="0">
            <x v="1"/>
          </reference>
        </references>
      </pivotArea>
    </chartFormat>
    <chartFormat chart="7" format="14">
      <pivotArea type="data" outline="0" fieldPosition="0">
        <references count="2">
          <reference field="4294967294" count="1" selected="0">
            <x v="1"/>
          </reference>
          <reference field="0" count="1" selected="0">
            <x v="0"/>
          </reference>
        </references>
      </pivotArea>
    </chartFormat>
    <chartFormat chart="7" format="15">
      <pivotArea type="data" outline="0" fieldPosition="0">
        <references count="2">
          <reference field="4294967294" count="1" selected="0">
            <x v="1"/>
          </reference>
          <reference field="0" count="1" selected="0">
            <x v="1"/>
          </reference>
        </references>
      </pivotArea>
    </chartFormat>
    <chartFormat chart="0" format="4">
      <pivotArea type="data" outline="0" fieldPosition="0">
        <references count="2">
          <reference field="4294967294" count="1" selected="0">
            <x v="1"/>
          </reference>
          <reference field="0" count="1" selected="0">
            <x v="0"/>
          </reference>
        </references>
      </pivotArea>
    </chartFormat>
    <chartFormat chart="0" format="5">
      <pivotArea type="data" outline="0" fieldPosition="0">
        <references count="2">
          <reference field="4294967294" count="1" selected="0">
            <x v="1"/>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8" xr16:uid="{C1B992A0-AA0C-4A1A-898D-F4C5DB76AE4B}" autoFormatId="16" applyNumberFormats="0" applyBorderFormats="0" applyFontFormats="0" applyPatternFormats="0" applyAlignmentFormats="0" applyWidthHeightFormats="0">
  <queryTableRefresh nextId="4">
    <queryTableFields count="3">
      <queryTableField id="1" name="Gender" tableColumnId="1"/>
      <queryTableField id="2" name="patient_count" tableColumnId="2"/>
      <queryTableField id="3" name="avg_obs_scor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0" xr16:uid="{39CC79C1-84C5-4CD5-807B-8CCF43E55389}" autoFormatId="16" applyNumberFormats="0" applyBorderFormats="0" applyFontFormats="0" applyPatternFormats="0" applyAlignmentFormats="0" applyWidthHeightFormats="0">
  <queryTableRefresh nextId="5">
    <queryTableFields count="4">
      <queryTableField id="1" name="count_female" tableColumnId="1"/>
      <queryTableField id="2" name="count_male" tableColumnId="2"/>
      <queryTableField id="3" name="pct_female" tableColumnId="3"/>
      <queryTableField id="4" name="pct_mal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6B459CF-BCC7-4D2D-9E37-F211B0DF2AEC}" sourceName="YEAR">
  <pivotTables>
    <pivotTable tabId="21" name="PivotTable5"/>
  </pivotTables>
  <data>
    <tabular pivotCacheId="67373316">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count" xr10:uid="{8ED593DC-7DA5-43DC-818B-5DED5D5DE3BD}" sourceName="patient_count">
  <pivotTables>
    <pivotTable tabId="21" name="PivotTable5"/>
  </pivotTables>
  <data>
    <tabular pivotCacheId="67373316">
      <items count="9">
        <i x="0" s="1"/>
        <i x="8" s="1"/>
        <i x="7" s="1"/>
        <i x="1" s="1"/>
        <i x="3" s="1"/>
        <i x="5" s="1"/>
        <i x="6"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EBE896F-F8A0-4888-8737-85325D8D8F96}" cache="Slicer_YEAR" caption="YEAR" rowHeight="254906"/>
  <slicer name="patient_count" xr10:uid="{457F7E98-5342-4609-8BA7-A6F4C01584CF}" cache="Slicer_patient_count" caption="patient_count" rowHeight="254906"/>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205B16B-DF7D-4A1E-9110-7506AA17917B}" name="Table13" displayName="Table13" ref="B1:C11" totalsRowShown="0">
  <autoFilter ref="B1:C11" xr:uid="{2205B16B-DF7D-4A1E-9110-7506AA17917B}"/>
  <tableColumns count="2">
    <tableColumn id="1" xr3:uid="{3C0529CC-67C6-4DE1-AF65-CA1CB00307D8}" name="YEAR"/>
    <tableColumn id="2" xr3:uid="{F5F79FD2-54BC-481F-90CC-6AA9C5720443}" name="patient_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E56BA9D-2561-4DF3-8CC2-F4A253385BFC}" name="Table15" displayName="Table15" ref="A1:C5" totalsRowShown="0" headerRowDxfId="12" tableBorderDxfId="11">
  <autoFilter ref="A1:C5" xr:uid="{6E56BA9D-2561-4DF3-8CC2-F4A253385BFC}"/>
  <tableColumns count="3">
    <tableColumn id="1" xr3:uid="{5A83D888-8DFB-4887-9ECA-0212FA11EF4E}" name="Ethnicity"/>
    <tableColumn id="2" xr3:uid="{887C8360-CF7F-4966-8E66-087B01E01D22}" name="patient_count"/>
    <tableColumn id="3" xr3:uid="{62812CD8-E08F-4231-A091-26CB94EF187E}" name="avg_obs_sco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961A3AA-6D85-4E1D-9995-ADAC978726F3}" name="Table16" displayName="Table16" ref="A1:C6" totalsRowShown="0" headerRowDxfId="10" tableBorderDxfId="9">
  <autoFilter ref="A1:C6" xr:uid="{8961A3AA-6D85-4E1D-9995-ADAC978726F3}"/>
  <tableColumns count="3">
    <tableColumn id="1" xr3:uid="{01045A52-DC14-40DC-97D5-BB463D274765}" name="Obsession Type" dataDxfId="8"/>
    <tableColumn id="2" xr3:uid="{F15766D6-354B-4316-BC6B-B8276CC849BD}" name="patient_count" dataDxfId="7"/>
    <tableColumn id="3" xr3:uid="{0A40B282-FAD4-4C63-932F-430B2403B3D6}" name="obs_score"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24B6C74-94E3-4EDE-B4EA-753DDFB933B0}" name="Table17" displayName="Table17" ref="A1:C6" totalsRowShown="0" headerRowDxfId="5" tableBorderDxfId="4">
  <autoFilter ref="A1:C6" xr:uid="{A24B6C74-94E3-4EDE-B4EA-753DDFB933B0}"/>
  <tableColumns count="3">
    <tableColumn id="1" xr3:uid="{4DDB024F-59D6-4F05-BB78-9C3B6D81A440}" name="Compulsion Type" dataDxfId="3"/>
    <tableColumn id="2" xr3:uid="{D351FF36-8A4A-4A45-89E3-7C98EDA7287B}" name="patient_count" dataDxfId="2"/>
    <tableColumn id="3" xr3:uid="{7C9F69BE-8CB1-4536-BC22-D3F1F508EF3A}" name="com_score" data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6B8352A-0F93-4250-BCD0-9AB0C9A7F26F}" name="Gender__2" displayName="Gender__2" ref="A1:C3" tableType="queryTable" totalsRowShown="0">
  <autoFilter ref="A1:C3" xr:uid="{56B8352A-0F93-4250-BCD0-9AB0C9A7F26F}"/>
  <tableColumns count="3">
    <tableColumn id="1" xr3:uid="{27363EF9-881D-4400-824B-F07C552A738E}" uniqueName="1" name="Gender" queryTableFieldId="1" dataDxfId="0"/>
    <tableColumn id="2" xr3:uid="{2D79C450-4844-4564-B9BE-DB10287E8804}" uniqueName="2" name="patient_count" queryTableFieldId="2"/>
    <tableColumn id="3" xr3:uid="{B67512B1-A06C-4221-BFED-4268FDD9C258}" uniqueName="3" name="avg_obs_score"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C31E6AD-A3D2-4827-95A3-5D87E4DFC594}" name="GenderPercentMalevsFemale23" displayName="GenderPercentMalevsFemale23" ref="A5:D6" tableType="queryTable" totalsRowShown="0">
  <autoFilter ref="A5:D6" xr:uid="{DC31E6AD-A3D2-4827-95A3-5D87E4DFC594}"/>
  <tableColumns count="4">
    <tableColumn id="1" xr3:uid="{194005BE-86B8-4CB3-90B6-74AF5CBA1FAB}" uniqueName="1" name="count_female" queryTableFieldId="1"/>
    <tableColumn id="2" xr3:uid="{0085466A-9EE2-4D8A-8E77-9CFA65820B22}" uniqueName="2" name="count_male" queryTableFieldId="2"/>
    <tableColumn id="3" xr3:uid="{1ED68514-82BE-4CDC-9672-8FEE1D9E4595}" uniqueName="3" name="pct_female" queryTableFieldId="3"/>
    <tableColumn id="4" xr3:uid="{EDF996F7-B851-47DE-9806-922021D5D2BD}" uniqueName="4" name="pct_mal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1F2FD-D2B7-42E9-851F-77319D681CD1}">
  <dimension ref="A3:B14"/>
  <sheetViews>
    <sheetView workbookViewId="0">
      <selection activeCell="Y24" sqref="Y24"/>
    </sheetView>
  </sheetViews>
  <sheetFormatPr defaultRowHeight="14.6" x14ac:dyDescent="0.4"/>
  <cols>
    <col min="1" max="1" width="12.4609375" bestFit="1" customWidth="1"/>
    <col min="2" max="2" width="18.765625" bestFit="1" customWidth="1"/>
  </cols>
  <sheetData>
    <row r="3" spans="1:2" x14ac:dyDescent="0.4">
      <c r="A3" s="1" t="s">
        <v>22</v>
      </c>
      <c r="B3" t="s">
        <v>25</v>
      </c>
    </row>
    <row r="4" spans="1:2" x14ac:dyDescent="0.4">
      <c r="A4" s="2">
        <v>2013</v>
      </c>
      <c r="B4">
        <v>18</v>
      </c>
    </row>
    <row r="5" spans="1:2" x14ac:dyDescent="0.4">
      <c r="A5" s="2">
        <v>2014</v>
      </c>
      <c r="B5">
        <v>157</v>
      </c>
    </row>
    <row r="6" spans="1:2" x14ac:dyDescent="0.4">
      <c r="A6" s="2">
        <v>2015</v>
      </c>
      <c r="B6">
        <v>170</v>
      </c>
    </row>
    <row r="7" spans="1:2" x14ac:dyDescent="0.4">
      <c r="A7" s="2">
        <v>2016</v>
      </c>
      <c r="B7">
        <v>163</v>
      </c>
    </row>
    <row r="8" spans="1:2" x14ac:dyDescent="0.4">
      <c r="A8" s="2">
        <v>2017</v>
      </c>
      <c r="B8">
        <v>163</v>
      </c>
    </row>
    <row r="9" spans="1:2" x14ac:dyDescent="0.4">
      <c r="A9" s="2">
        <v>2018</v>
      </c>
      <c r="B9">
        <v>204</v>
      </c>
    </row>
    <row r="10" spans="1:2" x14ac:dyDescent="0.4">
      <c r="A10" s="2">
        <v>2019</v>
      </c>
      <c r="B10">
        <v>167</v>
      </c>
    </row>
    <row r="11" spans="1:2" x14ac:dyDescent="0.4">
      <c r="A11" s="2">
        <v>2020</v>
      </c>
      <c r="B11">
        <v>169</v>
      </c>
    </row>
    <row r="12" spans="1:2" x14ac:dyDescent="0.4">
      <c r="A12" s="2">
        <v>2021</v>
      </c>
      <c r="B12">
        <v>150</v>
      </c>
    </row>
    <row r="13" spans="1:2" x14ac:dyDescent="0.4">
      <c r="A13" s="2">
        <v>2022</v>
      </c>
      <c r="B13">
        <v>139</v>
      </c>
    </row>
    <row r="14" spans="1:2" x14ac:dyDescent="0.4">
      <c r="A14" s="2" t="s">
        <v>23</v>
      </c>
      <c r="B14">
        <v>1500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3D694-4C22-47F4-A30E-1A94950DB452}">
  <dimension ref="B1:C11"/>
  <sheetViews>
    <sheetView zoomScale="85" zoomScaleNormal="85" workbookViewId="0">
      <selection activeCell="F36" sqref="F36"/>
    </sheetView>
  </sheetViews>
  <sheetFormatPr defaultRowHeight="14.6" x14ac:dyDescent="0.4"/>
  <cols>
    <col min="1" max="1" width="7.3828125" bestFit="1" customWidth="1"/>
    <col min="2" max="2" width="14.61328125" bestFit="1" customWidth="1"/>
    <col min="3" max="3" width="14.3046875" customWidth="1"/>
  </cols>
  <sheetData>
    <row r="1" spans="2:3" x14ac:dyDescent="0.4">
      <c r="B1" t="s">
        <v>7</v>
      </c>
      <c r="C1" t="s">
        <v>1</v>
      </c>
    </row>
    <row r="2" spans="2:3" x14ac:dyDescent="0.4">
      <c r="B2">
        <v>2013</v>
      </c>
      <c r="C2">
        <v>18</v>
      </c>
    </row>
    <row r="3" spans="2:3" x14ac:dyDescent="0.4">
      <c r="B3">
        <v>2014</v>
      </c>
      <c r="C3">
        <v>157</v>
      </c>
    </row>
    <row r="4" spans="2:3" x14ac:dyDescent="0.4">
      <c r="B4">
        <v>2015</v>
      </c>
      <c r="C4">
        <v>170</v>
      </c>
    </row>
    <row r="5" spans="2:3" x14ac:dyDescent="0.4">
      <c r="B5">
        <v>2016</v>
      </c>
      <c r="C5">
        <v>163</v>
      </c>
    </row>
    <row r="6" spans="2:3" x14ac:dyDescent="0.4">
      <c r="B6">
        <v>2017</v>
      </c>
      <c r="C6">
        <v>163</v>
      </c>
    </row>
    <row r="7" spans="2:3" x14ac:dyDescent="0.4">
      <c r="B7">
        <v>2018</v>
      </c>
      <c r="C7">
        <v>204</v>
      </c>
    </row>
    <row r="8" spans="2:3" x14ac:dyDescent="0.4">
      <c r="B8">
        <v>2019</v>
      </c>
      <c r="C8">
        <v>167</v>
      </c>
    </row>
    <row r="9" spans="2:3" x14ac:dyDescent="0.4">
      <c r="B9">
        <v>2020</v>
      </c>
      <c r="C9">
        <v>169</v>
      </c>
    </row>
    <row r="10" spans="2:3" x14ac:dyDescent="0.4">
      <c r="B10">
        <v>2021</v>
      </c>
      <c r="C10">
        <v>150</v>
      </c>
    </row>
    <row r="11" spans="2:3" x14ac:dyDescent="0.4">
      <c r="B11">
        <v>2022</v>
      </c>
      <c r="C11">
        <v>139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C544A-BDD5-4433-AE1F-471D215F4DED}">
  <dimension ref="A3:C8"/>
  <sheetViews>
    <sheetView topLeftCell="B3" workbookViewId="0">
      <selection activeCell="F36" sqref="F36"/>
    </sheetView>
  </sheetViews>
  <sheetFormatPr defaultRowHeight="14.6" x14ac:dyDescent="0.4"/>
  <cols>
    <col min="1" max="1" width="12.4609375" bestFit="1" customWidth="1"/>
    <col min="2" max="2" width="14.84375" bestFit="1" customWidth="1"/>
    <col min="3" max="3" width="12.15234375" bestFit="1" customWidth="1"/>
    <col min="4" max="4" width="15.53515625" bestFit="1" customWidth="1"/>
    <col min="5" max="5" width="10.4609375" bestFit="1" customWidth="1"/>
  </cols>
  <sheetData>
    <row r="3" spans="1:3" x14ac:dyDescent="0.4">
      <c r="A3" s="1" t="s">
        <v>22</v>
      </c>
      <c r="B3" t="s">
        <v>27</v>
      </c>
      <c r="C3" t="s">
        <v>28</v>
      </c>
    </row>
    <row r="4" spans="1:3" x14ac:dyDescent="0.4">
      <c r="A4" s="2" t="s">
        <v>3</v>
      </c>
      <c r="B4">
        <v>19.760000000000002</v>
      </c>
      <c r="C4">
        <v>324</v>
      </c>
    </row>
    <row r="5" spans="1:3" x14ac:dyDescent="0.4">
      <c r="A5" s="2" t="s">
        <v>4</v>
      </c>
      <c r="B5">
        <v>20.32</v>
      </c>
      <c r="C5">
        <v>386</v>
      </c>
    </row>
    <row r="6" spans="1:3" x14ac:dyDescent="0.4">
      <c r="A6" s="2" t="s">
        <v>6</v>
      </c>
      <c r="B6">
        <v>19.79</v>
      </c>
      <c r="C6">
        <v>398</v>
      </c>
    </row>
    <row r="7" spans="1:3" x14ac:dyDescent="0.4">
      <c r="A7" s="2" t="s">
        <v>5</v>
      </c>
      <c r="B7">
        <v>20.28</v>
      </c>
      <c r="C7">
        <v>392</v>
      </c>
    </row>
    <row r="8" spans="1:3" x14ac:dyDescent="0.4">
      <c r="A8" s="2" t="s">
        <v>23</v>
      </c>
      <c r="B8">
        <v>80.150000000000006</v>
      </c>
      <c r="C8">
        <v>1500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F2BC-FB5C-42F0-BC43-A5B88DA48176}">
  <dimension ref="A1:C5"/>
  <sheetViews>
    <sheetView workbookViewId="0">
      <selection sqref="A1:C5"/>
    </sheetView>
  </sheetViews>
  <sheetFormatPr defaultRowHeight="14.6" x14ac:dyDescent="0.4"/>
  <cols>
    <col min="1" max="1" width="10.4609375" bestFit="1" customWidth="1"/>
    <col min="2" max="2" width="14.61328125" bestFit="1" customWidth="1"/>
    <col min="3" max="3" width="15.3046875" bestFit="1" customWidth="1"/>
  </cols>
  <sheetData>
    <row r="1" spans="1:3" x14ac:dyDescent="0.4">
      <c r="A1" s="5" t="s">
        <v>0</v>
      </c>
      <c r="B1" s="5" t="s">
        <v>1</v>
      </c>
      <c r="C1" s="5" t="s">
        <v>2</v>
      </c>
    </row>
    <row r="2" spans="1:3" x14ac:dyDescent="0.4">
      <c r="A2" s="3" t="s">
        <v>3</v>
      </c>
      <c r="B2" s="3">
        <v>324</v>
      </c>
      <c r="C2" s="3">
        <v>19.760000000000002</v>
      </c>
    </row>
    <row r="3" spans="1:3" x14ac:dyDescent="0.4">
      <c r="A3" s="4" t="s">
        <v>4</v>
      </c>
      <c r="B3" s="4">
        <v>386</v>
      </c>
      <c r="C3" s="4">
        <v>20.32</v>
      </c>
    </row>
    <row r="4" spans="1:3" x14ac:dyDescent="0.4">
      <c r="A4" s="3" t="s">
        <v>5</v>
      </c>
      <c r="B4" s="3">
        <v>392</v>
      </c>
      <c r="C4" s="3">
        <v>20.28</v>
      </c>
    </row>
    <row r="5" spans="1:3" x14ac:dyDescent="0.4">
      <c r="A5" s="4" t="s">
        <v>6</v>
      </c>
      <c r="B5" s="4">
        <v>398</v>
      </c>
      <c r="C5" s="4">
        <v>19.79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9A500-E847-485F-801C-AAB8DEE60DCE}">
  <dimension ref="A3:C9"/>
  <sheetViews>
    <sheetView topLeftCell="G1" workbookViewId="0">
      <selection sqref="A1:C5"/>
    </sheetView>
  </sheetViews>
  <sheetFormatPr defaultRowHeight="14.6" x14ac:dyDescent="0.4"/>
  <cols>
    <col min="1" max="1" width="12.765625" bestFit="1" customWidth="1"/>
    <col min="2" max="2" width="12.15234375" bestFit="1" customWidth="1"/>
    <col min="3" max="3" width="14.84375" bestFit="1" customWidth="1"/>
  </cols>
  <sheetData>
    <row r="3" spans="1:3" x14ac:dyDescent="0.4">
      <c r="A3" s="1" t="s">
        <v>22</v>
      </c>
      <c r="B3" t="s">
        <v>28</v>
      </c>
      <c r="C3" t="s">
        <v>27</v>
      </c>
    </row>
    <row r="4" spans="1:3" x14ac:dyDescent="0.4">
      <c r="A4" s="2" t="s">
        <v>20</v>
      </c>
      <c r="B4">
        <v>306</v>
      </c>
      <c r="C4">
        <v>19.670000000000002</v>
      </c>
    </row>
    <row r="5" spans="1:3" x14ac:dyDescent="0.4">
      <c r="A5" s="2" t="s">
        <v>21</v>
      </c>
      <c r="B5">
        <v>333</v>
      </c>
      <c r="C5">
        <v>20.65</v>
      </c>
    </row>
    <row r="6" spans="1:3" x14ac:dyDescent="0.4">
      <c r="A6" s="2" t="s">
        <v>17</v>
      </c>
      <c r="B6">
        <v>278</v>
      </c>
      <c r="C6">
        <v>21.01</v>
      </c>
    </row>
    <row r="7" spans="1:3" x14ac:dyDescent="0.4">
      <c r="A7" s="2" t="s">
        <v>19</v>
      </c>
      <c r="B7">
        <v>303</v>
      </c>
      <c r="C7">
        <v>19.23</v>
      </c>
    </row>
    <row r="8" spans="1:3" x14ac:dyDescent="0.4">
      <c r="A8" s="2" t="s">
        <v>18</v>
      </c>
      <c r="B8">
        <v>280</v>
      </c>
      <c r="C8">
        <v>19.670000000000002</v>
      </c>
    </row>
    <row r="9" spans="1:3" x14ac:dyDescent="0.4">
      <c r="A9" s="2" t="s">
        <v>23</v>
      </c>
      <c r="B9">
        <v>1500</v>
      </c>
      <c r="C9">
        <v>100.23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D8AED-0A94-43A5-B79F-944BB050E503}">
  <dimension ref="A1:C6"/>
  <sheetViews>
    <sheetView workbookViewId="0">
      <selection sqref="A1:C6"/>
    </sheetView>
  </sheetViews>
  <sheetFormatPr defaultRowHeight="14.6" x14ac:dyDescent="0.4"/>
  <cols>
    <col min="1" max="1" width="16.23046875" bestFit="1" customWidth="1"/>
    <col min="2" max="2" width="14.61328125" bestFit="1" customWidth="1"/>
    <col min="3" max="3" width="11.53515625" bestFit="1" customWidth="1"/>
  </cols>
  <sheetData>
    <row r="1" spans="1:3" x14ac:dyDescent="0.4">
      <c r="A1" s="5" t="s">
        <v>15</v>
      </c>
      <c r="B1" s="5" t="s">
        <v>1</v>
      </c>
      <c r="C1" s="5" t="s">
        <v>16</v>
      </c>
    </row>
    <row r="2" spans="1:3" x14ac:dyDescent="0.4">
      <c r="A2" s="3" t="s">
        <v>17</v>
      </c>
      <c r="B2" s="3">
        <v>278</v>
      </c>
      <c r="C2" s="3">
        <v>21.01</v>
      </c>
    </row>
    <row r="3" spans="1:3" x14ac:dyDescent="0.4">
      <c r="A3" s="4" t="s">
        <v>18</v>
      </c>
      <c r="B3" s="4">
        <v>280</v>
      </c>
      <c r="C3" s="4">
        <v>19.670000000000002</v>
      </c>
    </row>
    <row r="4" spans="1:3" x14ac:dyDescent="0.4">
      <c r="A4" s="3" t="s">
        <v>19</v>
      </c>
      <c r="B4" s="3">
        <v>303</v>
      </c>
      <c r="C4" s="3">
        <v>19.23</v>
      </c>
    </row>
    <row r="5" spans="1:3" x14ac:dyDescent="0.4">
      <c r="A5" s="4" t="s">
        <v>20</v>
      </c>
      <c r="B5" s="4">
        <v>306</v>
      </c>
      <c r="C5" s="4">
        <v>19.670000000000002</v>
      </c>
    </row>
    <row r="6" spans="1:3" x14ac:dyDescent="0.4">
      <c r="A6" s="3" t="s">
        <v>21</v>
      </c>
      <c r="B6" s="3">
        <v>333</v>
      </c>
      <c r="C6" s="3">
        <v>20.65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8BC7D-D2BA-41C8-BECD-CE90402C78C3}">
  <dimension ref="A3:C9"/>
  <sheetViews>
    <sheetView workbookViewId="0">
      <selection activeCell="G8" sqref="G8"/>
    </sheetView>
  </sheetViews>
  <sheetFormatPr defaultRowHeight="14.6" x14ac:dyDescent="0.4"/>
  <cols>
    <col min="1" max="1" width="12.4609375" bestFit="1" customWidth="1"/>
    <col min="2" max="2" width="12.15234375" bestFit="1" customWidth="1"/>
    <col min="3" max="3" width="16.15234375" bestFit="1" customWidth="1"/>
  </cols>
  <sheetData>
    <row r="3" spans="1:3" x14ac:dyDescent="0.4">
      <c r="A3" s="1" t="s">
        <v>22</v>
      </c>
      <c r="B3" t="s">
        <v>28</v>
      </c>
      <c r="C3" t="s">
        <v>29</v>
      </c>
    </row>
    <row r="4" spans="1:3" x14ac:dyDescent="0.4">
      <c r="A4" s="2" t="s">
        <v>12</v>
      </c>
      <c r="B4">
        <v>292</v>
      </c>
      <c r="C4">
        <v>17.920000000000002</v>
      </c>
    </row>
    <row r="5" spans="1:3" x14ac:dyDescent="0.4">
      <c r="A5" s="2" t="s">
        <v>13</v>
      </c>
      <c r="B5">
        <v>316</v>
      </c>
      <c r="C5">
        <v>19.66</v>
      </c>
    </row>
    <row r="6" spans="1:3" x14ac:dyDescent="0.4">
      <c r="A6" s="2" t="s">
        <v>10</v>
      </c>
      <c r="B6">
        <v>285</v>
      </c>
      <c r="C6">
        <v>20.23</v>
      </c>
    </row>
    <row r="7" spans="1:3" x14ac:dyDescent="0.4">
      <c r="A7" s="2" t="s">
        <v>11</v>
      </c>
      <c r="B7">
        <v>286</v>
      </c>
      <c r="C7">
        <v>20.73</v>
      </c>
    </row>
    <row r="8" spans="1:3" x14ac:dyDescent="0.4">
      <c r="A8" s="2" t="s">
        <v>14</v>
      </c>
      <c r="B8">
        <v>321</v>
      </c>
      <c r="C8">
        <v>19.63</v>
      </c>
    </row>
    <row r="9" spans="1:3" x14ac:dyDescent="0.4">
      <c r="A9" s="2" t="s">
        <v>23</v>
      </c>
      <c r="B9">
        <v>1500</v>
      </c>
      <c r="C9">
        <v>98.17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859C3-F28A-4438-92BC-715098DBAC32}">
  <dimension ref="A1:C6"/>
  <sheetViews>
    <sheetView workbookViewId="0">
      <selection activeCell="G8" sqref="G8"/>
    </sheetView>
  </sheetViews>
  <sheetFormatPr defaultRowHeight="14.6" x14ac:dyDescent="0.4"/>
  <cols>
    <col min="1" max="1" width="17.53515625" bestFit="1" customWidth="1"/>
    <col min="2" max="2" width="14.61328125" bestFit="1" customWidth="1"/>
    <col min="3" max="3" width="12.15234375" bestFit="1" customWidth="1"/>
  </cols>
  <sheetData>
    <row r="1" spans="1:3" x14ac:dyDescent="0.4">
      <c r="A1" s="5" t="s">
        <v>8</v>
      </c>
      <c r="B1" s="5" t="s">
        <v>1</v>
      </c>
      <c r="C1" s="5" t="s">
        <v>9</v>
      </c>
    </row>
    <row r="2" spans="1:3" x14ac:dyDescent="0.4">
      <c r="A2" s="3" t="s">
        <v>10</v>
      </c>
      <c r="B2" s="3">
        <v>285</v>
      </c>
      <c r="C2" s="3">
        <v>20.23</v>
      </c>
    </row>
    <row r="3" spans="1:3" x14ac:dyDescent="0.4">
      <c r="A3" s="4" t="s">
        <v>11</v>
      </c>
      <c r="B3" s="4">
        <v>286</v>
      </c>
      <c r="C3" s="4">
        <v>20.73</v>
      </c>
    </row>
    <row r="4" spans="1:3" x14ac:dyDescent="0.4">
      <c r="A4" s="3" t="s">
        <v>12</v>
      </c>
      <c r="B4" s="3">
        <v>292</v>
      </c>
      <c r="C4" s="3">
        <v>17.920000000000002</v>
      </c>
    </row>
    <row r="5" spans="1:3" x14ac:dyDescent="0.4">
      <c r="A5" s="4" t="s">
        <v>13</v>
      </c>
      <c r="B5" s="4">
        <v>316</v>
      </c>
      <c r="C5" s="4">
        <v>19.66</v>
      </c>
    </row>
    <row r="6" spans="1:3" x14ac:dyDescent="0.4">
      <c r="A6" s="3" t="s">
        <v>14</v>
      </c>
      <c r="B6" s="3">
        <v>321</v>
      </c>
      <c r="C6" s="3">
        <v>19.63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98243-B1D3-4DCE-A628-02688BB5E260}">
  <dimension ref="A3:C31"/>
  <sheetViews>
    <sheetView topLeftCell="A5" workbookViewId="0">
      <selection activeCell="C1" sqref="C1"/>
    </sheetView>
  </sheetViews>
  <sheetFormatPr defaultRowHeight="14.6" x14ac:dyDescent="0.4"/>
  <cols>
    <col min="1" max="2" width="12.4609375" bestFit="1" customWidth="1"/>
    <col min="3" max="4" width="25.61328125" bestFit="1" customWidth="1"/>
  </cols>
  <sheetData>
    <row r="3" spans="1:3" x14ac:dyDescent="0.4">
      <c r="A3" s="1" t="s">
        <v>22</v>
      </c>
      <c r="B3" t="s">
        <v>24</v>
      </c>
      <c r="C3" t="s">
        <v>26</v>
      </c>
    </row>
    <row r="4" spans="1:3" x14ac:dyDescent="0.4">
      <c r="A4" s="2" t="s">
        <v>31</v>
      </c>
      <c r="B4">
        <v>747</v>
      </c>
      <c r="C4">
        <v>20.195399999999999</v>
      </c>
    </row>
    <row r="5" spans="1:3" x14ac:dyDescent="0.4">
      <c r="A5" s="2" t="s">
        <v>32</v>
      </c>
      <c r="B5">
        <v>753</v>
      </c>
      <c r="C5">
        <v>19.901700000000002</v>
      </c>
    </row>
    <row r="6" spans="1:3" x14ac:dyDescent="0.4">
      <c r="A6" s="2" t="s">
        <v>23</v>
      </c>
      <c r="B6">
        <v>1500</v>
      </c>
      <c r="C6">
        <v>40.097099999999998</v>
      </c>
    </row>
    <row r="28" spans="2:3" x14ac:dyDescent="0.4">
      <c r="B28" s="1" t="s">
        <v>22</v>
      </c>
      <c r="C28" t="s">
        <v>37</v>
      </c>
    </row>
    <row r="29" spans="2:3" x14ac:dyDescent="0.4">
      <c r="B29" s="2" t="s">
        <v>31</v>
      </c>
      <c r="C29">
        <v>20.195399999999999</v>
      </c>
    </row>
    <row r="30" spans="2:3" x14ac:dyDescent="0.4">
      <c r="B30" s="2" t="s">
        <v>32</v>
      </c>
      <c r="C30">
        <v>19.901700000000002</v>
      </c>
    </row>
    <row r="31" spans="2:3" x14ac:dyDescent="0.4">
      <c r="B31" s="2" t="s">
        <v>23</v>
      </c>
      <c r="C31">
        <v>40.097099999999998</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712CB-B6EF-4C3E-83B1-CACCE810DEF1}">
  <dimension ref="A1:D6"/>
  <sheetViews>
    <sheetView workbookViewId="0">
      <selection activeCell="C1" sqref="C1"/>
    </sheetView>
  </sheetViews>
  <sheetFormatPr defaultRowHeight="14.6" x14ac:dyDescent="0.4"/>
  <cols>
    <col min="2" max="2" width="14.61328125" bestFit="1" customWidth="1"/>
    <col min="3" max="3" width="15.3046875" bestFit="1" customWidth="1"/>
  </cols>
  <sheetData>
    <row r="1" spans="1:4" x14ac:dyDescent="0.4">
      <c r="A1" t="s">
        <v>30</v>
      </c>
      <c r="B1" t="s">
        <v>1</v>
      </c>
      <c r="C1" t="s">
        <v>2</v>
      </c>
    </row>
    <row r="2" spans="1:4" x14ac:dyDescent="0.4">
      <c r="A2" t="s">
        <v>31</v>
      </c>
      <c r="B2">
        <v>747</v>
      </c>
      <c r="C2">
        <v>20.195399999999999</v>
      </c>
    </row>
    <row r="3" spans="1:4" x14ac:dyDescent="0.4">
      <c r="A3" t="s">
        <v>32</v>
      </c>
      <c r="B3">
        <v>753</v>
      </c>
      <c r="C3">
        <v>19.901700000000002</v>
      </c>
    </row>
    <row r="5" spans="1:4" x14ac:dyDescent="0.4">
      <c r="A5" t="s">
        <v>33</v>
      </c>
      <c r="B5" t="s">
        <v>34</v>
      </c>
      <c r="C5" t="s">
        <v>35</v>
      </c>
      <c r="D5" t="s">
        <v>36</v>
      </c>
    </row>
    <row r="6" spans="1:4" x14ac:dyDescent="0.4">
      <c r="A6">
        <v>747</v>
      </c>
      <c r="B6">
        <v>753</v>
      </c>
      <c r="C6">
        <v>49.8</v>
      </c>
      <c r="D6">
        <v>50.2</v>
      </c>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A365C-FDDB-4263-AE1C-D8227D4FB384}">
  <dimension ref="A1"/>
  <sheetViews>
    <sheetView showGridLines="0" tabSelected="1" zoomScale="50" workbookViewId="0">
      <selection activeCell="Y72" sqref="Y72"/>
    </sheetView>
  </sheetViews>
  <sheetFormatPr defaultRowHeight="14.6" x14ac:dyDescent="0.4"/>
  <sheetData/>
  <sheetProtection algorithmName="SHA-512" hashValue="55XW/DdWY6Y9Spsi3Z8VTmsDvyMaLqrarT++OfNDyzSGFUWIKTsWn5SqCE7rBpB5TcPLiHnJRDbQieHwhpg5ug==" saltValue="Nf53Bbtv5CSPGDjhV9ADdQ==" spinCount="100000" sheet="1"/>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FF97FA-D2CE-4ACE-A969-D91203971B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DiagnosesPerYear(PivotTable)</vt:lpstr>
      <vt:lpstr>Diagnoses (Per Year)</vt:lpstr>
      <vt:lpstr>Ethnicity(PivotTable)</vt:lpstr>
      <vt:lpstr>Ethnicity </vt:lpstr>
      <vt:lpstr>ObsessionType(PivotTable)</vt:lpstr>
      <vt:lpstr>Most Common Obsession Type</vt:lpstr>
      <vt:lpstr>CompulsionType(PivotChart)</vt:lpstr>
      <vt:lpstr>Most Common Compulsion Type</vt:lpstr>
      <vt:lpstr>Gender(PivotTable)</vt:lpstr>
      <vt:lpstr>Gender</vt:lpstr>
      <vt:lpstr>OCD Diagnosis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Nadya Reyneke</dc:creator>
  <cp:lastModifiedBy>Nadya Reyneke</cp:lastModifiedBy>
  <dcterms:created xsi:type="dcterms:W3CDTF">2025-11-29T01:32:42Z</dcterms:created>
  <dcterms:modified xsi:type="dcterms:W3CDTF">2025-11-30T01:44:43Z</dcterms:modified>
</cp:coreProperties>
</file>